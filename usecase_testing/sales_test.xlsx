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  <sheet name="Region_Categ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<sst xmlns="http://schemas.openxmlformats.org/spreadsheetml/2006/main" count="1213" uniqueCount="229">
  <si>
    <t xml:space="preserve">Order_ID</t>
  </si>
  <si>
    <t xml:space="preserve">Date</t>
  </si>
  <si>
    <t xml:space="preserve">Salesperson</t>
  </si>
  <si>
    <t xml:space="preserve">Region</t>
  </si>
  <si>
    <t xml:space="preserve">Category</t>
  </si>
  <si>
    <t xml:space="preserve">Product</t>
  </si>
  <si>
    <t xml:space="preserve">Quantity</t>
  </si>
  <si>
    <t xml:space="preserve">Unit_Price</t>
  </si>
  <si>
    <t xml:space="preserve">Discount_%</t>
  </si>
  <si>
    <t xml:space="preserve">Revenue</t>
  </si>
  <si>
    <t xml:space="preserve">Cost</t>
  </si>
  <si>
    <t xml:space="preserve">Profit</t>
  </si>
  <si>
    <t xml:space="preserve">2024-01-08</t>
  </si>
  <si>
    <t xml:space="preserve">Bob</t>
  </si>
  <si>
    <t xml:space="preserve">North</t>
  </si>
  <si>
    <t xml:space="preserve">Electronics</t>
  </si>
  <si>
    <t xml:space="preserve">Laptop</t>
  </si>
  <si>
    <t xml:space="preserve">2024-01-19</t>
  </si>
  <si>
    <t xml:space="preserve">David</t>
  </si>
  <si>
    <t xml:space="preserve">Food</t>
  </si>
  <si>
    <t xml:space="preserve">Cookies</t>
  </si>
  <si>
    <t xml:space="preserve">2024-01-17</t>
  </si>
  <si>
    <t xml:space="preserve">Eva</t>
  </si>
  <si>
    <t xml:space="preserve">East</t>
  </si>
  <si>
    <t xml:space="preserve">Coffee</t>
  </si>
  <si>
    <t xml:space="preserve">2024-01-09</t>
  </si>
  <si>
    <t xml:space="preserve">South</t>
  </si>
  <si>
    <t xml:space="preserve">2024-01-04</t>
  </si>
  <si>
    <t xml:space="preserve">Carol</t>
  </si>
  <si>
    <t xml:space="preserve">Clothing</t>
  </si>
  <si>
    <t xml:space="preserve">T-Shirt</t>
  </si>
  <si>
    <t xml:space="preserve">2024-01-18</t>
  </si>
  <si>
    <t xml:space="preserve">Alice</t>
  </si>
  <si>
    <t xml:space="preserve">West</t>
  </si>
  <si>
    <t xml:space="preserve">Tea</t>
  </si>
  <si>
    <t xml:space="preserve">2024-01-28</t>
  </si>
  <si>
    <t xml:space="preserve">Tablet</t>
  </si>
  <si>
    <t xml:space="preserve">2024-01-25</t>
  </si>
  <si>
    <t xml:space="preserve">2024-01-15</t>
  </si>
  <si>
    <t xml:space="preserve">2024-01-23</t>
  </si>
  <si>
    <t xml:space="preserve">Jeans</t>
  </si>
  <si>
    <t xml:space="preserve">2024-01-22</t>
  </si>
  <si>
    <t xml:space="preserve">2024-01-21</t>
  </si>
  <si>
    <t xml:space="preserve">2024-01-05</t>
  </si>
  <si>
    <t xml:space="preserve">2024-01-13</t>
  </si>
  <si>
    <t xml:space="preserve">2024-01-20</t>
  </si>
  <si>
    <t xml:space="preserve">Jacket</t>
  </si>
  <si>
    <t xml:space="preserve">Phone</t>
  </si>
  <si>
    <t xml:space="preserve">2024-02-03</t>
  </si>
  <si>
    <t xml:space="preserve">2024-02-18</t>
  </si>
  <si>
    <t xml:space="preserve">2024-02-17</t>
  </si>
  <si>
    <t xml:space="preserve">2024-02-01</t>
  </si>
  <si>
    <t xml:space="preserve">2024-02-23</t>
  </si>
  <si>
    <t xml:space="preserve">2024-02-05</t>
  </si>
  <si>
    <t xml:space="preserve">2024-02-04</t>
  </si>
  <si>
    <t xml:space="preserve">2024-02-28</t>
  </si>
  <si>
    <t xml:space="preserve">2024-02-08</t>
  </si>
  <si>
    <t xml:space="preserve">2024-02-06</t>
  </si>
  <si>
    <t xml:space="preserve">2024-02-16</t>
  </si>
  <si>
    <t xml:space="preserve">2024-02-22</t>
  </si>
  <si>
    <t xml:space="preserve">2024-02-19</t>
  </si>
  <si>
    <t xml:space="preserve">2024-03-20</t>
  </si>
  <si>
    <t xml:space="preserve">2024-03-19</t>
  </si>
  <si>
    <t xml:space="preserve">2024-03-09</t>
  </si>
  <si>
    <t xml:space="preserve">2024-03-11</t>
  </si>
  <si>
    <t xml:space="preserve">2024-03-03</t>
  </si>
  <si>
    <t xml:space="preserve">2024-03-23</t>
  </si>
  <si>
    <t xml:space="preserve">2024-03-05</t>
  </si>
  <si>
    <t xml:space="preserve">2024-03-17</t>
  </si>
  <si>
    <t xml:space="preserve">2024-03-02</t>
  </si>
  <si>
    <t xml:space="preserve">2024-03-24</t>
  </si>
  <si>
    <t xml:space="preserve">2024-03-14</t>
  </si>
  <si>
    <t xml:space="preserve">2024-04-22</t>
  </si>
  <si>
    <t xml:space="preserve">2024-04-24</t>
  </si>
  <si>
    <t xml:space="preserve">2024-04-06</t>
  </si>
  <si>
    <t xml:space="preserve">2024-04-27</t>
  </si>
  <si>
    <t xml:space="preserve">2024-04-12</t>
  </si>
  <si>
    <t xml:space="preserve">2024-04-04</t>
  </si>
  <si>
    <t xml:space="preserve">2024-04-20</t>
  </si>
  <si>
    <t xml:space="preserve">2024-04-17</t>
  </si>
  <si>
    <t xml:space="preserve">2024-04-23</t>
  </si>
  <si>
    <t xml:space="preserve">2024-04-14</t>
  </si>
  <si>
    <t xml:space="preserve">2024-04-05</t>
  </si>
  <si>
    <t xml:space="preserve">2024-04-19</t>
  </si>
  <si>
    <t xml:space="preserve">2024-04-07</t>
  </si>
  <si>
    <t xml:space="preserve">2024-04-26</t>
  </si>
  <si>
    <t xml:space="preserve">2024-05-28</t>
  </si>
  <si>
    <t xml:space="preserve">2024-05-23</t>
  </si>
  <si>
    <t xml:space="preserve">2024-05-25</t>
  </si>
  <si>
    <t xml:space="preserve">2024-05-02</t>
  </si>
  <si>
    <t xml:space="preserve">2024-05-22</t>
  </si>
  <si>
    <t xml:space="preserve">2024-05-27</t>
  </si>
  <si>
    <t xml:space="preserve">2024-05-09</t>
  </si>
  <si>
    <t xml:space="preserve">2024-05-15</t>
  </si>
  <si>
    <t xml:space="preserve">2024-05-18</t>
  </si>
  <si>
    <t xml:space="preserve">2024-05-08</t>
  </si>
  <si>
    <t xml:space="preserve">2024-05-13</t>
  </si>
  <si>
    <t xml:space="preserve">2024-06-01</t>
  </si>
  <si>
    <t xml:space="preserve">2024-06-28</t>
  </si>
  <si>
    <t xml:space="preserve">2024-06-07</t>
  </si>
  <si>
    <t xml:space="preserve">2024-06-09</t>
  </si>
  <si>
    <t xml:space="preserve">2024-06-12</t>
  </si>
  <si>
    <t xml:space="preserve">2024-06-19</t>
  </si>
  <si>
    <t xml:space="preserve">2024-06-20</t>
  </si>
  <si>
    <t xml:space="preserve">2024-06-26</t>
  </si>
  <si>
    <t xml:space="preserve">2024-06-03</t>
  </si>
  <si>
    <t xml:space="preserve">2024-06-14</t>
  </si>
  <si>
    <t xml:space="preserve">2024-06-24</t>
  </si>
  <si>
    <t xml:space="preserve">2024-06-15</t>
  </si>
  <si>
    <t xml:space="preserve">2024-07-11</t>
  </si>
  <si>
    <t xml:space="preserve">2024-07-03</t>
  </si>
  <si>
    <t xml:space="preserve">2024-07-21</t>
  </si>
  <si>
    <t xml:space="preserve">2024-07-13</t>
  </si>
  <si>
    <t xml:space="preserve">2024-07-18</t>
  </si>
  <si>
    <t xml:space="preserve">2024-07-12</t>
  </si>
  <si>
    <t xml:space="preserve">2024-07-24</t>
  </si>
  <si>
    <t xml:space="preserve">2024-07-07</t>
  </si>
  <si>
    <t xml:space="preserve">2024-07-20</t>
  </si>
  <si>
    <t xml:space="preserve">2024-07-06</t>
  </si>
  <si>
    <t xml:space="preserve">2024-07-02</t>
  </si>
  <si>
    <t xml:space="preserve">2024-07-28</t>
  </si>
  <si>
    <t xml:space="preserve">2024-07-16</t>
  </si>
  <si>
    <t xml:space="preserve">2024-07-26</t>
  </si>
  <si>
    <t xml:space="preserve">2024-07-10</t>
  </si>
  <si>
    <t xml:space="preserve">2024-08-24</t>
  </si>
  <si>
    <t xml:space="preserve">2024-08-06</t>
  </si>
  <si>
    <t xml:space="preserve">2024-08-14</t>
  </si>
  <si>
    <t xml:space="preserve">2024-08-23</t>
  </si>
  <si>
    <t xml:space="preserve">2024-08-26</t>
  </si>
  <si>
    <t xml:space="preserve">2024-08-21</t>
  </si>
  <si>
    <t xml:space="preserve">2024-08-03</t>
  </si>
  <si>
    <t xml:space="preserve">2024-08-09</t>
  </si>
  <si>
    <t xml:space="preserve">2024-08-01</t>
  </si>
  <si>
    <t xml:space="preserve">2024-08-12</t>
  </si>
  <si>
    <t xml:space="preserve">2024-08-11</t>
  </si>
  <si>
    <t xml:space="preserve">2024-08-02</t>
  </si>
  <si>
    <t xml:space="preserve">2024-08-25</t>
  </si>
  <si>
    <t xml:space="preserve">2024-08-07</t>
  </si>
  <si>
    <t xml:space="preserve">2024-09-14</t>
  </si>
  <si>
    <t xml:space="preserve">2024-09-16</t>
  </si>
  <si>
    <t xml:space="preserve">2024-09-15</t>
  </si>
  <si>
    <t xml:space="preserve">2024-09-24</t>
  </si>
  <si>
    <t xml:space="preserve">2024-09-09</t>
  </si>
  <si>
    <t xml:space="preserve">2024-09-22</t>
  </si>
  <si>
    <t xml:space="preserve">2024-09-11</t>
  </si>
  <si>
    <t xml:space="preserve">2024-09-19</t>
  </si>
  <si>
    <t xml:space="preserve">2024-09-23</t>
  </si>
  <si>
    <t xml:space="preserve">2024-09-02</t>
  </si>
  <si>
    <t xml:space="preserve">2024-09-28</t>
  </si>
  <si>
    <t xml:space="preserve">2024-09-06</t>
  </si>
  <si>
    <t xml:space="preserve">2024-09-12</t>
  </si>
  <si>
    <t xml:space="preserve">2024-10-22</t>
  </si>
  <si>
    <t xml:space="preserve">2024-10-20</t>
  </si>
  <si>
    <t xml:space="preserve">2024-10-21</t>
  </si>
  <si>
    <t xml:space="preserve">2024-10-10</t>
  </si>
  <si>
    <t xml:space="preserve">2024-10-28</t>
  </si>
  <si>
    <t xml:space="preserve">2024-10-19</t>
  </si>
  <si>
    <t xml:space="preserve">2024-10-01</t>
  </si>
  <si>
    <t xml:space="preserve">2024-10-25</t>
  </si>
  <si>
    <t xml:space="preserve">2024-10-09</t>
  </si>
  <si>
    <t xml:space="preserve">2024-10-26</t>
  </si>
  <si>
    <t xml:space="preserve">2024-10-12</t>
  </si>
  <si>
    <t xml:space="preserve">2024-10-24</t>
  </si>
  <si>
    <t xml:space="preserve">2024-10-18</t>
  </si>
  <si>
    <t xml:space="preserve">2024-10-13</t>
  </si>
  <si>
    <t xml:space="preserve">2024-11-18</t>
  </si>
  <si>
    <t xml:space="preserve">2024-11-21</t>
  </si>
  <si>
    <t xml:space="preserve">2024-11-16</t>
  </si>
  <si>
    <t xml:space="preserve">2024-11-15</t>
  </si>
  <si>
    <t xml:space="preserve">2024-11-23</t>
  </si>
  <si>
    <t xml:space="preserve">2024-11-04</t>
  </si>
  <si>
    <t xml:space="preserve">2024-11-02</t>
  </si>
  <si>
    <t xml:space="preserve">2024-11-27</t>
  </si>
  <si>
    <t xml:space="preserve">2024-11-25</t>
  </si>
  <si>
    <t xml:space="preserve">2024-11-09</t>
  </si>
  <si>
    <t xml:space="preserve">2024-11-12</t>
  </si>
  <si>
    <t xml:space="preserve">2024-11-05</t>
  </si>
  <si>
    <t xml:space="preserve">2024-11-03</t>
  </si>
  <si>
    <t xml:space="preserve">2024-11-24</t>
  </si>
  <si>
    <t xml:space="preserve">2024-11-14</t>
  </si>
  <si>
    <t xml:space="preserve">2024-12-28</t>
  </si>
  <si>
    <t xml:space="preserve">2024-12-19</t>
  </si>
  <si>
    <t xml:space="preserve">2024-12-01</t>
  </si>
  <si>
    <t xml:space="preserve">2024-12-11</t>
  </si>
  <si>
    <t xml:space="preserve">2024-12-03</t>
  </si>
  <si>
    <t xml:space="preserve">2024-12-13</t>
  </si>
  <si>
    <t xml:space="preserve">2024-12-24</t>
  </si>
  <si>
    <t xml:space="preserve">2024-12-02</t>
  </si>
  <si>
    <t xml:space="preserve">2024-12-20</t>
  </si>
  <si>
    <t xml:space="preserve">2024-12-12</t>
  </si>
  <si>
    <t xml:space="preserve">2024-12-17</t>
  </si>
  <si>
    <t xml:space="preserve">2024-12-05</t>
  </si>
  <si>
    <t xml:space="preserve">2024-12-04</t>
  </si>
  <si>
    <t xml:space="preserve">2024-12-27</t>
  </si>
  <si>
    <t xml:space="preserve">2024-12-25</t>
  </si>
  <si>
    <t xml:space="preserve">OVERALL KPIs</t>
  </si>
  <si>
    <t xml:space="preserve">Revenue by Category</t>
  </si>
  <si>
    <t xml:space="preserve">Revenue by Salesperson</t>
  </si>
  <si>
    <t xml:space="preserve">% of Total</t>
  </si>
  <si>
    <t xml:space="preserve">Orders</t>
  </si>
  <si>
    <t xml:space="preserve">Avg/Order</t>
  </si>
  <si>
    <t xml:space="preserve">Rank</t>
  </si>
  <si>
    <t xml:space="preserve">Total Orders</t>
  </si>
  <si>
    <t xml:space="preserve">Total Revenue</t>
  </si>
  <si>
    <t xml:space="preserve">Total Cost</t>
  </si>
  <si>
    <t xml:space="preserve">Total Profit</t>
  </si>
  <si>
    <t xml:space="preserve">Avg Order Value</t>
  </si>
  <si>
    <t xml:space="preserve">Avg Discount %</t>
  </si>
  <si>
    <t xml:space="preserve">Profit Margin %</t>
  </si>
  <si>
    <t xml:space="preserve">Monthly Revenue Trend</t>
  </si>
  <si>
    <t xml:space="preserve">Month</t>
  </si>
  <si>
    <t xml:space="preserve">MoM Growth %</t>
  </si>
  <si>
    <t xml:space="preserve">2024-01</t>
  </si>
  <si>
    <t xml:space="preserve">-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</si>
  <si>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</si>
  <si>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</si>
  <si>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</si>
  <si>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</si>
  <si>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</si>
  <si>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</si>
  <si>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</si>
  <si>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</si>
  <si>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</si>
  <si>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</si>
  <si>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</si>
  <si>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Revenue by Region × Category</t>
  </si>
  <si>
    <t xml:space="preserve">Region / Category</t>
  </si>
  <si>
    <t xml:space="preserve">Total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</si>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</sst>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9</v>
      </c>
      <c r="H2" s="2" t="n">
        <v>1200</v>
      </c>
      <c r="I2" s="2" t="n">
        <v>5</v>
      </c>
      <c r="J2" s="2" t="n">
        <f aca="false">G2*H2*(1-I2/100)</f>
        <v>10260</v>
      </c>
      <c r="K2" s="2" t="n">
        <f aca="false">G2*720</f>
        <v>6480</v>
      </c>
      <c r="L2" s="2" t="n">
        <f aca="false">J2-K2</f>
        <v>3780</v>
      </c>
    </row>
    <row r="3" customFormat="false" ht="15" hidden="false" customHeight="false" outlineLevel="0" collapsed="false">
      <c r="A3" s="3" t="n">
        <v>2</v>
      </c>
      <c r="B3" s="3" t="s">
        <v>17</v>
      </c>
      <c r="C3" s="3" t="s">
        <v>18</v>
      </c>
      <c r="D3" s="3" t="s">
        <v>14</v>
      </c>
      <c r="E3" s="3" t="s">
        <v>19</v>
      </c>
      <c r="F3" s="3" t="s">
        <v>20</v>
      </c>
      <c r="G3" s="3" t="n">
        <v>18</v>
      </c>
      <c r="H3" s="3" t="n">
        <v>8</v>
      </c>
      <c r="I3" s="3" t="n">
        <v>0</v>
      </c>
      <c r="J3" s="3" t="n">
        <f aca="false">G3*H3*(1-I3/100)</f>
        <v>144</v>
      </c>
      <c r="K3" s="3" t="n">
        <f aca="false">G3*4.8</f>
        <v>86.4</v>
      </c>
      <c r="L3" s="3" t="n">
        <f aca="false">J3-K3</f>
        <v>57.6</v>
      </c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22</v>
      </c>
      <c r="D4" s="2" t="s">
        <v>14</v>
      </c>
      <c r="E4" s="2" t="s">
        <v>15</v>
      </c>
      <c r="F4" s="2" t="s">
        <v>16</v>
      </c>
      <c r="G4" s="2" t="n">
        <v>7</v>
      </c>
      <c r="H4" s="2" t="n">
        <v>1200</v>
      </c>
      <c r="I4" s="2" t="n">
        <v>5</v>
      </c>
      <c r="J4" s="2" t="n">
        <f aca="false">G4*H4*(1-I4/100)</f>
        <v>7980</v>
      </c>
      <c r="K4" s="2" t="n">
        <f aca="false">G4*720</f>
        <v>5040</v>
      </c>
      <c r="L4" s="2" t="n">
        <f aca="false">J4-K4</f>
        <v>2940</v>
      </c>
    </row>
    <row r="5" customFormat="false" ht="15" hidden="false" customHeight="false" outlineLevel="0" collapsed="false">
      <c r="A5" s="3" t="n">
        <v>4</v>
      </c>
      <c r="B5" s="3" t="s">
        <v>12</v>
      </c>
      <c r="C5" s="3" t="s">
        <v>18</v>
      </c>
      <c r="D5" s="3" t="s">
        <v>23</v>
      </c>
      <c r="E5" s="3" t="s">
        <v>19</v>
      </c>
      <c r="F5" s="3" t="s">
        <v>24</v>
      </c>
      <c r="G5" s="3" t="n">
        <v>18</v>
      </c>
      <c r="H5" s="3" t="n">
        <v>15</v>
      </c>
      <c r="I5" s="3" t="n">
        <v>15</v>
      </c>
      <c r="J5" s="3" t="n">
        <f aca="false">G5*H5*(1-I5/100)</f>
        <v>229.5</v>
      </c>
      <c r="K5" s="3" t="n">
        <f aca="false">G5*9</f>
        <v>162</v>
      </c>
      <c r="L5" s="3" t="n">
        <f aca="false">J5-K5</f>
        <v>67.5</v>
      </c>
    </row>
    <row r="6" customFormat="false" ht="15" hidden="false" customHeight="false" outlineLevel="0" collapsed="false">
      <c r="A6" s="2" t="n">
        <v>5</v>
      </c>
      <c r="B6" s="2" t="s">
        <v>25</v>
      </c>
      <c r="C6" s="2" t="s">
        <v>13</v>
      </c>
      <c r="D6" s="2" t="s">
        <v>26</v>
      </c>
      <c r="E6" s="2" t="s">
        <v>15</v>
      </c>
      <c r="F6" s="2" t="s">
        <v>16</v>
      </c>
      <c r="G6" s="2" t="n">
        <v>14</v>
      </c>
      <c r="H6" s="2" t="n">
        <v>1200</v>
      </c>
      <c r="I6" s="2" t="n">
        <v>10</v>
      </c>
      <c r="J6" s="2" t="n">
        <f aca="false">G6*H6*(1-I6/100)</f>
        <v>15120</v>
      </c>
      <c r="K6" s="2" t="n">
        <f aca="false">G6*720</f>
        <v>10080</v>
      </c>
      <c r="L6" s="2" t="n">
        <f aca="false">J6-K6</f>
        <v>5040</v>
      </c>
    </row>
    <row r="7" customFormat="false" ht="15" hidden="false" customHeight="false" outlineLevel="0" collapsed="false">
      <c r="A7" s="3" t="n">
        <v>6</v>
      </c>
      <c r="B7" s="3" t="s">
        <v>27</v>
      </c>
      <c r="C7" s="3" t="s">
        <v>28</v>
      </c>
      <c r="D7" s="3" t="s">
        <v>23</v>
      </c>
      <c r="E7" s="3" t="s">
        <v>29</v>
      </c>
      <c r="F7" s="3" t="s">
        <v>30</v>
      </c>
      <c r="G7" s="3" t="n">
        <v>3</v>
      </c>
      <c r="H7" s="3" t="n">
        <v>25</v>
      </c>
      <c r="I7" s="3" t="n">
        <v>15</v>
      </c>
      <c r="J7" s="3" t="n">
        <f aca="false">G7*H7*(1-I7/100)</f>
        <v>63.75</v>
      </c>
      <c r="K7" s="3" t="n">
        <f aca="false">G7*15</f>
        <v>45</v>
      </c>
      <c r="L7" s="3" t="n">
        <f aca="false">J7-K7</f>
        <v>18.75</v>
      </c>
    </row>
    <row r="8" customFormat="false" ht="15" hidden="false" customHeight="false" outlineLevel="0" collapsed="false">
      <c r="A8" s="2" t="n">
        <v>7</v>
      </c>
      <c r="B8" s="2" t="s">
        <v>31</v>
      </c>
      <c r="C8" s="2" t="s">
        <v>32</v>
      </c>
      <c r="D8" s="2" t="s">
        <v>33</v>
      </c>
      <c r="E8" s="2" t="s">
        <v>19</v>
      </c>
      <c r="F8" s="2" t="s">
        <v>34</v>
      </c>
      <c r="G8" s="2" t="n">
        <v>2</v>
      </c>
      <c r="H8" s="2" t="n">
        <v>10</v>
      </c>
      <c r="I8" s="2" t="n">
        <v>15</v>
      </c>
      <c r="J8" s="2" t="n">
        <f aca="false">G8*H8*(1-I8/100)</f>
        <v>17</v>
      </c>
      <c r="K8" s="2" t="n">
        <f aca="false">G8*6</f>
        <v>12</v>
      </c>
      <c r="L8" s="2" t="n">
        <f aca="false">J8-K8</f>
        <v>5</v>
      </c>
    </row>
    <row r="9" customFormat="false" ht="15" hidden="false" customHeight="false" outlineLevel="0" collapsed="false">
      <c r="A9" s="3" t="n">
        <v>8</v>
      </c>
      <c r="B9" s="3" t="s">
        <v>35</v>
      </c>
      <c r="C9" s="3" t="s">
        <v>28</v>
      </c>
      <c r="D9" s="3" t="s">
        <v>26</v>
      </c>
      <c r="E9" s="3" t="s">
        <v>15</v>
      </c>
      <c r="F9" s="3" t="s">
        <v>36</v>
      </c>
      <c r="G9" s="3" t="n">
        <v>10</v>
      </c>
      <c r="H9" s="3" t="n">
        <v>400</v>
      </c>
      <c r="I9" s="3" t="n">
        <v>20</v>
      </c>
      <c r="J9" s="3" t="n">
        <f aca="false">G9*H9*(1-I9/100)</f>
        <v>3200</v>
      </c>
      <c r="K9" s="3" t="n">
        <f aca="false">G9*240</f>
        <v>2400</v>
      </c>
      <c r="L9" s="3" t="n">
        <f aca="false">J9-K9</f>
        <v>800</v>
      </c>
    </row>
    <row r="10" customFormat="false" ht="15" hidden="false" customHeight="false" outlineLevel="0" collapsed="false">
      <c r="A10" s="2" t="n">
        <v>9</v>
      </c>
      <c r="B10" s="2" t="s">
        <v>37</v>
      </c>
      <c r="C10" s="2" t="s">
        <v>28</v>
      </c>
      <c r="D10" s="2" t="s">
        <v>14</v>
      </c>
      <c r="E10" s="2" t="s">
        <v>19</v>
      </c>
      <c r="F10" s="2" t="s">
        <v>24</v>
      </c>
      <c r="G10" s="2" t="n">
        <v>2</v>
      </c>
      <c r="H10" s="2" t="n">
        <v>15</v>
      </c>
      <c r="I10" s="2" t="n">
        <v>5</v>
      </c>
      <c r="J10" s="2" t="n">
        <f aca="false">G10*H10*(1-I10/100)</f>
        <v>28.5</v>
      </c>
      <c r="K10" s="2" t="n">
        <f aca="false">G10*9</f>
        <v>18</v>
      </c>
      <c r="L10" s="2" t="n">
        <f aca="false">J10-K10</f>
        <v>10.5</v>
      </c>
    </row>
    <row r="11" customFormat="false" ht="15" hidden="false" customHeight="false" outlineLevel="0" collapsed="false">
      <c r="A11" s="3" t="n">
        <v>10</v>
      </c>
      <c r="B11" s="3" t="s">
        <v>38</v>
      </c>
      <c r="C11" s="3" t="s">
        <v>28</v>
      </c>
      <c r="D11" s="3" t="s">
        <v>26</v>
      </c>
      <c r="E11" s="3" t="s">
        <v>15</v>
      </c>
      <c r="F11" s="3" t="s">
        <v>16</v>
      </c>
      <c r="G11" s="3" t="n">
        <v>13</v>
      </c>
      <c r="H11" s="3" t="n">
        <v>1200</v>
      </c>
      <c r="I11" s="3" t="n">
        <v>10</v>
      </c>
      <c r="J11" s="3" t="n">
        <f aca="false">G11*H11*(1-I11/100)</f>
        <v>14040</v>
      </c>
      <c r="K11" s="3" t="n">
        <f aca="false">G11*720</f>
        <v>9360</v>
      </c>
      <c r="L11" s="3" t="n">
        <f aca="false">J11-K11</f>
        <v>4680</v>
      </c>
    </row>
    <row r="12" customFormat="false" ht="15" hidden="false" customHeight="false" outlineLevel="0" collapsed="false">
      <c r="A12" s="2" t="n">
        <v>11</v>
      </c>
      <c r="B12" s="2" t="s">
        <v>39</v>
      </c>
      <c r="C12" s="2" t="s">
        <v>32</v>
      </c>
      <c r="D12" s="2" t="s">
        <v>26</v>
      </c>
      <c r="E12" s="2" t="s">
        <v>29</v>
      </c>
      <c r="F12" s="2" t="s">
        <v>40</v>
      </c>
      <c r="G12" s="2" t="n">
        <v>7</v>
      </c>
      <c r="H12" s="2" t="n">
        <v>60</v>
      </c>
      <c r="I12" s="2" t="n">
        <v>10</v>
      </c>
      <c r="J12" s="2" t="n">
        <f aca="false">G12*H12*(1-I12/100)</f>
        <v>378</v>
      </c>
      <c r="K12" s="2" t="n">
        <f aca="false">G12*36</f>
        <v>252</v>
      </c>
      <c r="L12" s="2" t="n">
        <f aca="false">J12-K12</f>
        <v>126</v>
      </c>
    </row>
    <row r="13" customFormat="false" ht="15" hidden="false" customHeight="false" outlineLevel="0" collapsed="false">
      <c r="A13" s="3" t="n">
        <v>12</v>
      </c>
      <c r="B13" s="3" t="s">
        <v>38</v>
      </c>
      <c r="C13" s="3" t="s">
        <v>18</v>
      </c>
      <c r="D13" s="3" t="s">
        <v>23</v>
      </c>
      <c r="E13" s="3" t="s">
        <v>19</v>
      </c>
      <c r="F13" s="3" t="s">
        <v>20</v>
      </c>
      <c r="G13" s="3" t="n">
        <v>8</v>
      </c>
      <c r="H13" s="3" t="n">
        <v>8</v>
      </c>
      <c r="I13" s="3" t="n">
        <v>5</v>
      </c>
      <c r="J13" s="3" t="n">
        <f aca="false">G13*H13*(1-I13/100)</f>
        <v>60.8</v>
      </c>
      <c r="K13" s="3" t="n">
        <f aca="false">G13*4.8</f>
        <v>38.4</v>
      </c>
      <c r="L13" s="3" t="n">
        <f aca="false">J13-K13</f>
        <v>22.4</v>
      </c>
    </row>
    <row r="14" customFormat="false" ht="15" hidden="false" customHeight="false" outlineLevel="0" collapsed="false">
      <c r="A14" s="2" t="n">
        <v>13</v>
      </c>
      <c r="B14" s="2" t="s">
        <v>41</v>
      </c>
      <c r="C14" s="2" t="s">
        <v>28</v>
      </c>
      <c r="D14" s="2" t="s">
        <v>14</v>
      </c>
      <c r="E14" s="2" t="s">
        <v>19</v>
      </c>
      <c r="F14" s="2" t="s">
        <v>20</v>
      </c>
      <c r="G14" s="2" t="n">
        <v>18</v>
      </c>
      <c r="H14" s="2" t="n">
        <v>8</v>
      </c>
      <c r="I14" s="2" t="n">
        <v>5</v>
      </c>
      <c r="J14" s="2" t="n">
        <f aca="false">G14*H14*(1-I14/100)</f>
        <v>136.8</v>
      </c>
      <c r="K14" s="2" t="n">
        <f aca="false">G14*4.8</f>
        <v>86.4</v>
      </c>
      <c r="L14" s="2" t="n">
        <f aca="false">J14-K14</f>
        <v>50.4</v>
      </c>
    </row>
    <row r="15" customFormat="false" ht="15" hidden="false" customHeight="false" outlineLevel="0" collapsed="false">
      <c r="A15" s="3" t="n">
        <v>14</v>
      </c>
      <c r="B15" s="3" t="s">
        <v>25</v>
      </c>
      <c r="C15" s="3" t="s">
        <v>32</v>
      </c>
      <c r="D15" s="3" t="s">
        <v>26</v>
      </c>
      <c r="E15" s="3" t="s">
        <v>15</v>
      </c>
      <c r="F15" s="3" t="s">
        <v>16</v>
      </c>
      <c r="G15" s="3" t="n">
        <v>11</v>
      </c>
      <c r="H15" s="3" t="n">
        <v>1200</v>
      </c>
      <c r="I15" s="3" t="n">
        <v>15</v>
      </c>
      <c r="J15" s="3" t="n">
        <f aca="false">G15*H15*(1-I15/100)</f>
        <v>11220</v>
      </c>
      <c r="K15" s="3" t="n">
        <f aca="false">G15*720</f>
        <v>7920</v>
      </c>
      <c r="L15" s="3" t="n">
        <f aca="false">J15-K15</f>
        <v>3300</v>
      </c>
    </row>
    <row r="16" customFormat="false" ht="15" hidden="false" customHeight="false" outlineLevel="0" collapsed="false">
      <c r="A16" s="2" t="n">
        <v>15</v>
      </c>
      <c r="B16" s="2" t="s">
        <v>42</v>
      </c>
      <c r="C16" s="2" t="s">
        <v>18</v>
      </c>
      <c r="D16" s="2" t="s">
        <v>33</v>
      </c>
      <c r="E16" s="2" t="s">
        <v>19</v>
      </c>
      <c r="F16" s="2" t="s">
        <v>20</v>
      </c>
      <c r="G16" s="2" t="n">
        <v>11</v>
      </c>
      <c r="H16" s="2" t="n">
        <v>8</v>
      </c>
      <c r="I16" s="2" t="n">
        <v>5</v>
      </c>
      <c r="J16" s="2" t="n">
        <f aca="false">G16*H16*(1-I16/100)</f>
        <v>83.6</v>
      </c>
      <c r="K16" s="2" t="n">
        <f aca="false">G16*4.8</f>
        <v>52.8</v>
      </c>
      <c r="L16" s="2" t="n">
        <f aca="false">J16-K16</f>
        <v>30.8</v>
      </c>
    </row>
    <row r="17" customFormat="false" ht="15" hidden="false" customHeight="false" outlineLevel="0" collapsed="false">
      <c r="A17" s="3" t="n">
        <v>16</v>
      </c>
      <c r="B17" s="3" t="s">
        <v>43</v>
      </c>
      <c r="C17" s="3" t="s">
        <v>13</v>
      </c>
      <c r="D17" s="3" t="s">
        <v>23</v>
      </c>
      <c r="E17" s="3" t="s">
        <v>19</v>
      </c>
      <c r="F17" s="3" t="s">
        <v>34</v>
      </c>
      <c r="G17" s="3" t="n">
        <v>5</v>
      </c>
      <c r="H17" s="3" t="n">
        <v>10</v>
      </c>
      <c r="I17" s="3" t="n">
        <v>10</v>
      </c>
      <c r="J17" s="3" t="n">
        <f aca="false">G17*H17*(1-I17/100)</f>
        <v>45</v>
      </c>
      <c r="K17" s="3" t="n">
        <f aca="false">G17*6</f>
        <v>30</v>
      </c>
      <c r="L17" s="3" t="n">
        <f aca="false">J17-K17</f>
        <v>15</v>
      </c>
    </row>
    <row r="18" customFormat="false" ht="15" hidden="false" customHeight="false" outlineLevel="0" collapsed="false">
      <c r="A18" s="2" t="n">
        <v>17</v>
      </c>
      <c r="B18" s="2" t="s">
        <v>44</v>
      </c>
      <c r="C18" s="2" t="s">
        <v>28</v>
      </c>
      <c r="D18" s="2" t="s">
        <v>26</v>
      </c>
      <c r="E18" s="2" t="s">
        <v>19</v>
      </c>
      <c r="F18" s="2" t="s">
        <v>20</v>
      </c>
      <c r="G18" s="2" t="n">
        <v>14</v>
      </c>
      <c r="H18" s="2" t="n">
        <v>8</v>
      </c>
      <c r="I18" s="2" t="n">
        <v>20</v>
      </c>
      <c r="J18" s="2" t="n">
        <f aca="false">G18*H18*(1-I18/100)</f>
        <v>89.6</v>
      </c>
      <c r="K18" s="2" t="n">
        <f aca="false">G18*4.8</f>
        <v>67.2</v>
      </c>
      <c r="L18" s="2" t="n">
        <f aca="false">J18-K18</f>
        <v>22.4</v>
      </c>
    </row>
    <row r="19" customFormat="false" ht="15" hidden="false" customHeight="false" outlineLevel="0" collapsed="false">
      <c r="A19" s="3" t="n">
        <v>18</v>
      </c>
      <c r="B19" s="3" t="s">
        <v>37</v>
      </c>
      <c r="C19" s="3" t="s">
        <v>32</v>
      </c>
      <c r="D19" s="3" t="s">
        <v>14</v>
      </c>
      <c r="E19" s="3" t="s">
        <v>15</v>
      </c>
      <c r="F19" s="3" t="s">
        <v>36</v>
      </c>
      <c r="G19" s="3" t="n">
        <v>16</v>
      </c>
      <c r="H19" s="3" t="n">
        <v>400</v>
      </c>
      <c r="I19" s="3" t="n">
        <v>0</v>
      </c>
      <c r="J19" s="3" t="n">
        <f aca="false">G19*H19*(1-I19/100)</f>
        <v>6400</v>
      </c>
      <c r="K19" s="3" t="n">
        <f aca="false">G19*240</f>
        <v>3840</v>
      </c>
      <c r="L19" s="3" t="n">
        <f aca="false">J19-K19</f>
        <v>2560</v>
      </c>
    </row>
    <row r="20" customFormat="false" ht="15" hidden="false" customHeight="false" outlineLevel="0" collapsed="false">
      <c r="A20" s="2" t="n">
        <v>19</v>
      </c>
      <c r="B20" s="2" t="s">
        <v>45</v>
      </c>
      <c r="C20" s="2" t="s">
        <v>32</v>
      </c>
      <c r="D20" s="2" t="s">
        <v>33</v>
      </c>
      <c r="E20" s="2" t="s">
        <v>15</v>
      </c>
      <c r="F20" s="2" t="s">
        <v>36</v>
      </c>
      <c r="G20" s="2" t="n">
        <v>6</v>
      </c>
      <c r="H20" s="2" t="n">
        <v>400</v>
      </c>
      <c r="I20" s="2" t="n">
        <v>15</v>
      </c>
      <c r="J20" s="2" t="n">
        <f aca="false">G20*H20*(1-I20/100)</f>
        <v>2040</v>
      </c>
      <c r="K20" s="2" t="n">
        <f aca="false">G20*240</f>
        <v>1440</v>
      </c>
      <c r="L20" s="2" t="n">
        <f aca="false">J20-K20</f>
        <v>600</v>
      </c>
    </row>
    <row r="21" customFormat="false" ht="15" hidden="false" customHeight="false" outlineLevel="0" collapsed="false">
      <c r="A21" s="3" t="n">
        <v>20</v>
      </c>
      <c r="B21" s="3" t="s">
        <v>25</v>
      </c>
      <c r="C21" s="3" t="s">
        <v>22</v>
      </c>
      <c r="D21" s="3" t="s">
        <v>14</v>
      </c>
      <c r="E21" s="3" t="s">
        <v>29</v>
      </c>
      <c r="F21" s="3" t="s">
        <v>46</v>
      </c>
      <c r="G21" s="3" t="n">
        <v>15</v>
      </c>
      <c r="H21" s="3" t="n">
        <v>120</v>
      </c>
      <c r="I21" s="3" t="n">
        <v>20</v>
      </c>
      <c r="J21" s="3" t="n">
        <f aca="false">G21*H21*(1-I21/100)</f>
        <v>1440</v>
      </c>
      <c r="K21" s="3" t="n">
        <f aca="false">G21*72</f>
        <v>1080</v>
      </c>
      <c r="L21" s="3" t="n">
        <f aca="false">J21-K21</f>
        <v>360</v>
      </c>
    </row>
    <row r="22" customFormat="false" ht="15" hidden="false" customHeight="false" outlineLevel="0" collapsed="false">
      <c r="A22" s="2" t="n">
        <v>21</v>
      </c>
      <c r="B22" s="2" t="s">
        <v>37</v>
      </c>
      <c r="C22" s="2" t="s">
        <v>28</v>
      </c>
      <c r="D22" s="2" t="s">
        <v>23</v>
      </c>
      <c r="E22" s="2" t="s">
        <v>19</v>
      </c>
      <c r="F22" s="2" t="s">
        <v>20</v>
      </c>
      <c r="G22" s="2" t="n">
        <v>4</v>
      </c>
      <c r="H22" s="2" t="n">
        <v>8</v>
      </c>
      <c r="I22" s="2" t="n">
        <v>20</v>
      </c>
      <c r="J22" s="2" t="n">
        <f aca="false">G22*H22*(1-I22/100)</f>
        <v>25.6</v>
      </c>
      <c r="K22" s="2" t="n">
        <f aca="false">G22*4.8</f>
        <v>19.2</v>
      </c>
      <c r="L22" s="2" t="n">
        <f aca="false">J22-K22</f>
        <v>6.4</v>
      </c>
    </row>
    <row r="23" customFormat="false" ht="15" hidden="false" customHeight="false" outlineLevel="0" collapsed="false">
      <c r="A23" s="3" t="n">
        <v>22</v>
      </c>
      <c r="B23" s="3" t="s">
        <v>38</v>
      </c>
      <c r="C23" s="3" t="s">
        <v>32</v>
      </c>
      <c r="D23" s="3" t="s">
        <v>23</v>
      </c>
      <c r="E23" s="3" t="s">
        <v>15</v>
      </c>
      <c r="F23" s="3" t="s">
        <v>47</v>
      </c>
      <c r="G23" s="3" t="n">
        <v>14</v>
      </c>
      <c r="H23" s="3" t="n">
        <v>600</v>
      </c>
      <c r="I23" s="3" t="n">
        <v>5</v>
      </c>
      <c r="J23" s="3" t="n">
        <f aca="false">G23*H23*(1-I23/100)</f>
        <v>7980</v>
      </c>
      <c r="K23" s="3" t="n">
        <f aca="false">G23*360</f>
        <v>5040</v>
      </c>
      <c r="L23" s="3" t="n">
        <f aca="false">J23-K23</f>
        <v>2940</v>
      </c>
    </row>
    <row r="24" customFormat="false" ht="15" hidden="false" customHeight="false" outlineLevel="0" collapsed="false">
      <c r="A24" s="2" t="n">
        <v>23</v>
      </c>
      <c r="B24" s="2" t="s">
        <v>35</v>
      </c>
      <c r="C24" s="2" t="s">
        <v>28</v>
      </c>
      <c r="D24" s="2" t="s">
        <v>26</v>
      </c>
      <c r="E24" s="2" t="s">
        <v>19</v>
      </c>
      <c r="F24" s="2" t="s">
        <v>24</v>
      </c>
      <c r="G24" s="2" t="n">
        <v>17</v>
      </c>
      <c r="H24" s="2" t="n">
        <v>15</v>
      </c>
      <c r="I24" s="2" t="n">
        <v>0</v>
      </c>
      <c r="J24" s="2" t="n">
        <f aca="false">G24*H24*(1-I24/100)</f>
        <v>255</v>
      </c>
      <c r="K24" s="2" t="n">
        <f aca="false">G24*9</f>
        <v>153</v>
      </c>
      <c r="L24" s="2" t="n">
        <f aca="false">J24-K24</f>
        <v>102</v>
      </c>
    </row>
    <row r="25" customFormat="false" ht="15" hidden="false" customHeight="false" outlineLevel="0" collapsed="false">
      <c r="A25" s="3" t="n">
        <v>24</v>
      </c>
      <c r="B25" s="3" t="s">
        <v>37</v>
      </c>
      <c r="C25" s="3" t="s">
        <v>22</v>
      </c>
      <c r="D25" s="3" t="s">
        <v>14</v>
      </c>
      <c r="E25" s="3" t="s">
        <v>15</v>
      </c>
      <c r="F25" s="3" t="s">
        <v>47</v>
      </c>
      <c r="G25" s="3" t="n">
        <v>6</v>
      </c>
      <c r="H25" s="3" t="n">
        <v>600</v>
      </c>
      <c r="I25" s="3" t="n">
        <v>20</v>
      </c>
      <c r="J25" s="3" t="n">
        <f aca="false">G25*H25*(1-I25/100)</f>
        <v>2880</v>
      </c>
      <c r="K25" s="3" t="n">
        <f aca="false">G25*360</f>
        <v>2160</v>
      </c>
      <c r="L25" s="3" t="n">
        <f aca="false">J25-K25</f>
        <v>720</v>
      </c>
    </row>
    <row r="26" customFormat="false" ht="15" hidden="false" customHeight="false" outlineLevel="0" collapsed="false">
      <c r="A26" s="2" t="n">
        <v>25</v>
      </c>
      <c r="B26" s="2" t="s">
        <v>27</v>
      </c>
      <c r="C26" s="2" t="s">
        <v>28</v>
      </c>
      <c r="D26" s="2" t="s">
        <v>23</v>
      </c>
      <c r="E26" s="2" t="s">
        <v>19</v>
      </c>
      <c r="F26" s="2" t="s">
        <v>34</v>
      </c>
      <c r="G26" s="2" t="n">
        <v>16</v>
      </c>
      <c r="H26" s="2" t="n">
        <v>10</v>
      </c>
      <c r="I26" s="2" t="n">
        <v>0</v>
      </c>
      <c r="J26" s="2" t="n">
        <f aca="false">G26*H26*(1-I26/100)</f>
        <v>160</v>
      </c>
      <c r="K26" s="2" t="n">
        <f aca="false">G26*6</f>
        <v>96</v>
      </c>
      <c r="L26" s="2" t="n">
        <f aca="false">J26-K26</f>
        <v>64</v>
      </c>
    </row>
    <row r="27" customFormat="false" ht="15" hidden="false" customHeight="false" outlineLevel="0" collapsed="false">
      <c r="A27" s="3" t="n">
        <v>26</v>
      </c>
      <c r="B27" s="3" t="s">
        <v>48</v>
      </c>
      <c r="C27" s="3" t="s">
        <v>18</v>
      </c>
      <c r="D27" s="3" t="s">
        <v>14</v>
      </c>
      <c r="E27" s="3" t="s">
        <v>15</v>
      </c>
      <c r="F27" s="3" t="s">
        <v>16</v>
      </c>
      <c r="G27" s="3" t="n">
        <v>19</v>
      </c>
      <c r="H27" s="3" t="n">
        <v>1200</v>
      </c>
      <c r="I27" s="3" t="n">
        <v>0</v>
      </c>
      <c r="J27" s="3" t="n">
        <f aca="false">G27*H27*(1-I27/100)</f>
        <v>22800</v>
      </c>
      <c r="K27" s="3" t="n">
        <f aca="false">G27*720</f>
        <v>13680</v>
      </c>
      <c r="L27" s="3" t="n">
        <f aca="false">J27-K27</f>
        <v>9120</v>
      </c>
    </row>
    <row r="28" customFormat="false" ht="15" hidden="false" customHeight="false" outlineLevel="0" collapsed="false">
      <c r="A28" s="2" t="n">
        <v>27</v>
      </c>
      <c r="B28" s="2" t="s">
        <v>49</v>
      </c>
      <c r="C28" s="2" t="s">
        <v>13</v>
      </c>
      <c r="D28" s="2" t="s">
        <v>23</v>
      </c>
      <c r="E28" s="2" t="s">
        <v>19</v>
      </c>
      <c r="F28" s="2" t="s">
        <v>24</v>
      </c>
      <c r="G28" s="2" t="n">
        <v>5</v>
      </c>
      <c r="H28" s="2" t="n">
        <v>15</v>
      </c>
      <c r="I28" s="2" t="n">
        <v>15</v>
      </c>
      <c r="J28" s="2" t="n">
        <f aca="false">G28*H28*(1-I28/100)</f>
        <v>63.75</v>
      </c>
      <c r="K28" s="2" t="n">
        <f aca="false">G28*9</f>
        <v>45</v>
      </c>
      <c r="L28" s="2" t="n">
        <f aca="false">J28-K28</f>
        <v>18.75</v>
      </c>
    </row>
    <row r="29" customFormat="false" ht="15" hidden="false" customHeight="false" outlineLevel="0" collapsed="false">
      <c r="A29" s="3" t="n">
        <v>28</v>
      </c>
      <c r="B29" s="3" t="s">
        <v>49</v>
      </c>
      <c r="C29" s="3" t="s">
        <v>13</v>
      </c>
      <c r="D29" s="3" t="s">
        <v>23</v>
      </c>
      <c r="E29" s="3" t="s">
        <v>19</v>
      </c>
      <c r="F29" s="3" t="s">
        <v>20</v>
      </c>
      <c r="G29" s="3" t="n">
        <v>14</v>
      </c>
      <c r="H29" s="3" t="n">
        <v>8</v>
      </c>
      <c r="I29" s="3" t="n">
        <v>5</v>
      </c>
      <c r="J29" s="3" t="n">
        <f aca="false">G29*H29*(1-I29/100)</f>
        <v>106.4</v>
      </c>
      <c r="K29" s="3" t="n">
        <f aca="false">G29*4.8</f>
        <v>67.2</v>
      </c>
      <c r="L29" s="3" t="n">
        <f aca="false">J29-K29</f>
        <v>39.2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18</v>
      </c>
      <c r="D30" s="2" t="s">
        <v>14</v>
      </c>
      <c r="E30" s="2" t="s">
        <v>29</v>
      </c>
      <c r="F30" s="2" t="s">
        <v>46</v>
      </c>
      <c r="G30" s="2" t="n">
        <v>12</v>
      </c>
      <c r="H30" s="2" t="n">
        <v>120</v>
      </c>
      <c r="I30" s="2" t="n">
        <v>15</v>
      </c>
      <c r="J30" s="2" t="n">
        <f aca="false">G30*H30*(1-I30/100)</f>
        <v>1224</v>
      </c>
      <c r="K30" s="2" t="n">
        <f aca="false">G30*72</f>
        <v>864</v>
      </c>
      <c r="L30" s="2" t="n">
        <f aca="false">J30-K30</f>
        <v>360</v>
      </c>
    </row>
    <row r="31" customFormat="false" ht="15" hidden="false" customHeight="false" outlineLevel="0" collapsed="false">
      <c r="A31" s="3" t="n">
        <v>30</v>
      </c>
      <c r="B31" s="3" t="s">
        <v>51</v>
      </c>
      <c r="C31" s="3" t="s">
        <v>22</v>
      </c>
      <c r="D31" s="3" t="s">
        <v>26</v>
      </c>
      <c r="E31" s="3" t="s">
        <v>15</v>
      </c>
      <c r="F31" s="3" t="s">
        <v>16</v>
      </c>
      <c r="G31" s="3" t="n">
        <v>3</v>
      </c>
      <c r="H31" s="3" t="n">
        <v>1200</v>
      </c>
      <c r="I31" s="3" t="n">
        <v>10</v>
      </c>
      <c r="J31" s="3" t="n">
        <f aca="false">G31*H31*(1-I31/100)</f>
        <v>3240</v>
      </c>
      <c r="K31" s="3" t="n">
        <f aca="false">G31*720</f>
        <v>2160</v>
      </c>
      <c r="L31" s="3" t="n">
        <f aca="false">J31-K31</f>
        <v>1080</v>
      </c>
    </row>
    <row r="32" customFormat="false" ht="15" hidden="false" customHeight="false" outlineLevel="0" collapsed="false">
      <c r="A32" s="2" t="n">
        <v>31</v>
      </c>
      <c r="B32" s="2" t="s">
        <v>52</v>
      </c>
      <c r="C32" s="2" t="s">
        <v>32</v>
      </c>
      <c r="D32" s="2" t="s">
        <v>26</v>
      </c>
      <c r="E32" s="2" t="s">
        <v>19</v>
      </c>
      <c r="F32" s="2" t="s">
        <v>24</v>
      </c>
      <c r="G32" s="2" t="n">
        <v>1</v>
      </c>
      <c r="H32" s="2" t="n">
        <v>15</v>
      </c>
      <c r="I32" s="2" t="n">
        <v>0</v>
      </c>
      <c r="J32" s="2" t="n">
        <f aca="false">G32*H32*(1-I32/100)</f>
        <v>15</v>
      </c>
      <c r="K32" s="2" t="n">
        <f aca="false">G32*9</f>
        <v>9</v>
      </c>
      <c r="L32" s="2" t="n">
        <f aca="false">J32-K32</f>
        <v>6</v>
      </c>
    </row>
    <row r="33" customFormat="false" ht="15" hidden="false" customHeight="false" outlineLevel="0" collapsed="false">
      <c r="A33" s="3" t="n">
        <v>32</v>
      </c>
      <c r="B33" s="3" t="s">
        <v>50</v>
      </c>
      <c r="C33" s="3" t="s">
        <v>13</v>
      </c>
      <c r="D33" s="3" t="s">
        <v>23</v>
      </c>
      <c r="E33" s="3" t="s">
        <v>15</v>
      </c>
      <c r="F33" s="3" t="s">
        <v>16</v>
      </c>
      <c r="G33" s="3" t="n">
        <v>11</v>
      </c>
      <c r="H33" s="3" t="n">
        <v>1200</v>
      </c>
      <c r="I33" s="3" t="n">
        <v>0</v>
      </c>
      <c r="J33" s="3" t="n">
        <f aca="false">G33*H33*(1-I33/100)</f>
        <v>13200</v>
      </c>
      <c r="K33" s="3" t="n">
        <f aca="false">G33*720</f>
        <v>7920</v>
      </c>
      <c r="L33" s="3" t="n">
        <f aca="false">J33-K33</f>
        <v>5280</v>
      </c>
    </row>
    <row r="34" customFormat="false" ht="15" hidden="false" customHeight="false" outlineLevel="0" collapsed="false">
      <c r="A34" s="2" t="n">
        <v>33</v>
      </c>
      <c r="B34" s="2" t="s">
        <v>53</v>
      </c>
      <c r="C34" s="2" t="s">
        <v>22</v>
      </c>
      <c r="D34" s="2" t="s">
        <v>33</v>
      </c>
      <c r="E34" s="2" t="s">
        <v>19</v>
      </c>
      <c r="F34" s="2" t="s">
        <v>34</v>
      </c>
      <c r="G34" s="2" t="n">
        <v>7</v>
      </c>
      <c r="H34" s="2" t="n">
        <v>10</v>
      </c>
      <c r="I34" s="2" t="n">
        <v>20</v>
      </c>
      <c r="J34" s="2" t="n">
        <f aca="false">G34*H34*(1-I34/100)</f>
        <v>56</v>
      </c>
      <c r="K34" s="2" t="n">
        <f aca="false">G34*6</f>
        <v>42</v>
      </c>
      <c r="L34" s="2" t="n">
        <f aca="false">J34-K34</f>
        <v>14</v>
      </c>
    </row>
    <row r="35" customFormat="false" ht="15" hidden="false" customHeight="false" outlineLevel="0" collapsed="false">
      <c r="A35" s="3" t="n">
        <v>34</v>
      </c>
      <c r="B35" s="3" t="s">
        <v>54</v>
      </c>
      <c r="C35" s="3" t="s">
        <v>32</v>
      </c>
      <c r="D35" s="3" t="s">
        <v>33</v>
      </c>
      <c r="E35" s="3" t="s">
        <v>15</v>
      </c>
      <c r="F35" s="3" t="s">
        <v>47</v>
      </c>
      <c r="G35" s="3" t="n">
        <v>14</v>
      </c>
      <c r="H35" s="3" t="n">
        <v>600</v>
      </c>
      <c r="I35" s="3" t="n">
        <v>5</v>
      </c>
      <c r="J35" s="3" t="n">
        <f aca="false">G35*H35*(1-I35/100)</f>
        <v>7980</v>
      </c>
      <c r="K35" s="3" t="n">
        <f aca="false">G35*360</f>
        <v>5040</v>
      </c>
      <c r="L35" s="3" t="n">
        <f aca="false">J35-K35</f>
        <v>2940</v>
      </c>
    </row>
    <row r="36" customFormat="false" ht="15" hidden="false" customHeight="false" outlineLevel="0" collapsed="false">
      <c r="A36" s="2" t="n">
        <v>35</v>
      </c>
      <c r="B36" s="2" t="s">
        <v>55</v>
      </c>
      <c r="C36" s="2" t="s">
        <v>32</v>
      </c>
      <c r="D36" s="2" t="s">
        <v>14</v>
      </c>
      <c r="E36" s="2" t="s">
        <v>29</v>
      </c>
      <c r="F36" s="2" t="s">
        <v>40</v>
      </c>
      <c r="G36" s="2" t="n">
        <v>14</v>
      </c>
      <c r="H36" s="2" t="n">
        <v>60</v>
      </c>
      <c r="I36" s="2" t="n">
        <v>15</v>
      </c>
      <c r="J36" s="2" t="n">
        <f aca="false">G36*H36*(1-I36/100)</f>
        <v>714</v>
      </c>
      <c r="K36" s="2" t="n">
        <f aca="false">G36*36</f>
        <v>504</v>
      </c>
      <c r="L36" s="2" t="n">
        <f aca="false">J36-K36</f>
        <v>210</v>
      </c>
    </row>
    <row r="37" customFormat="false" ht="15" hidden="false" customHeight="false" outlineLevel="0" collapsed="false">
      <c r="A37" s="3" t="n">
        <v>36</v>
      </c>
      <c r="B37" s="3" t="s">
        <v>56</v>
      </c>
      <c r="C37" s="3" t="s">
        <v>13</v>
      </c>
      <c r="D37" s="3" t="s">
        <v>26</v>
      </c>
      <c r="E37" s="3" t="s">
        <v>15</v>
      </c>
      <c r="F37" s="3" t="s">
        <v>47</v>
      </c>
      <c r="G37" s="3" t="n">
        <v>11</v>
      </c>
      <c r="H37" s="3" t="n">
        <v>600</v>
      </c>
      <c r="I37" s="3" t="n">
        <v>0</v>
      </c>
      <c r="J37" s="3" t="n">
        <f aca="false">G37*H37*(1-I37/100)</f>
        <v>6600</v>
      </c>
      <c r="K37" s="3" t="n">
        <f aca="false">G37*360</f>
        <v>3960</v>
      </c>
      <c r="L37" s="3" t="n">
        <f aca="false">J37-K37</f>
        <v>2640</v>
      </c>
    </row>
    <row r="38" customFormat="false" ht="15" hidden="false" customHeight="false" outlineLevel="0" collapsed="false">
      <c r="A38" s="2" t="n">
        <v>37</v>
      </c>
      <c r="B38" s="2" t="s">
        <v>57</v>
      </c>
      <c r="C38" s="2" t="s">
        <v>28</v>
      </c>
      <c r="D38" s="2" t="s">
        <v>33</v>
      </c>
      <c r="E38" s="2" t="s">
        <v>19</v>
      </c>
      <c r="F38" s="2" t="s">
        <v>34</v>
      </c>
      <c r="G38" s="2" t="n">
        <v>5</v>
      </c>
      <c r="H38" s="2" t="n">
        <v>10</v>
      </c>
      <c r="I38" s="2" t="n">
        <v>15</v>
      </c>
      <c r="J38" s="2" t="n">
        <f aca="false">G38*H38*(1-I38/100)</f>
        <v>42.5</v>
      </c>
      <c r="K38" s="2" t="n">
        <f aca="false">G38*6</f>
        <v>30</v>
      </c>
      <c r="L38" s="2" t="n">
        <f aca="false">J38-K38</f>
        <v>12.5</v>
      </c>
    </row>
    <row r="39" customFormat="false" ht="15" hidden="false" customHeight="false" outlineLevel="0" collapsed="false">
      <c r="A39" s="3" t="n">
        <v>38</v>
      </c>
      <c r="B39" s="3" t="s">
        <v>54</v>
      </c>
      <c r="C39" s="3" t="s">
        <v>32</v>
      </c>
      <c r="D39" s="3" t="s">
        <v>14</v>
      </c>
      <c r="E39" s="3" t="s">
        <v>15</v>
      </c>
      <c r="F39" s="3" t="s">
        <v>16</v>
      </c>
      <c r="G39" s="3" t="n">
        <v>15</v>
      </c>
      <c r="H39" s="3" t="n">
        <v>1200</v>
      </c>
      <c r="I39" s="3" t="n">
        <v>20</v>
      </c>
      <c r="J39" s="3" t="n">
        <f aca="false">G39*H39*(1-I39/100)</f>
        <v>14400</v>
      </c>
      <c r="K39" s="3" t="n">
        <f aca="false">G39*720</f>
        <v>10800</v>
      </c>
      <c r="L39" s="3" t="n">
        <f aca="false">J39-K39</f>
        <v>3600</v>
      </c>
    </row>
    <row r="40" customFormat="false" ht="15" hidden="false" customHeight="false" outlineLevel="0" collapsed="false">
      <c r="A40" s="2" t="n">
        <v>39</v>
      </c>
      <c r="B40" s="2" t="s">
        <v>58</v>
      </c>
      <c r="C40" s="2" t="s">
        <v>18</v>
      </c>
      <c r="D40" s="2" t="s">
        <v>26</v>
      </c>
      <c r="E40" s="2" t="s">
        <v>15</v>
      </c>
      <c r="F40" s="2" t="s">
        <v>16</v>
      </c>
      <c r="G40" s="2" t="n">
        <v>6</v>
      </c>
      <c r="H40" s="2" t="n">
        <v>1200</v>
      </c>
      <c r="I40" s="2" t="n">
        <v>15</v>
      </c>
      <c r="J40" s="2" t="n">
        <f aca="false">G40*H40*(1-I40/100)</f>
        <v>6120</v>
      </c>
      <c r="K40" s="2" t="n">
        <f aca="false">G40*720</f>
        <v>4320</v>
      </c>
      <c r="L40" s="2" t="n">
        <f aca="false">J40-K40</f>
        <v>1800</v>
      </c>
    </row>
    <row r="41" customFormat="false" ht="15" hidden="false" customHeight="false" outlineLevel="0" collapsed="false">
      <c r="A41" s="3" t="n">
        <v>40</v>
      </c>
      <c r="B41" s="3" t="s">
        <v>51</v>
      </c>
      <c r="C41" s="3" t="s">
        <v>18</v>
      </c>
      <c r="D41" s="3" t="s">
        <v>23</v>
      </c>
      <c r="E41" s="3" t="s">
        <v>29</v>
      </c>
      <c r="F41" s="3" t="s">
        <v>30</v>
      </c>
      <c r="G41" s="3" t="n">
        <v>6</v>
      </c>
      <c r="H41" s="3" t="n">
        <v>25</v>
      </c>
      <c r="I41" s="3" t="n">
        <v>15</v>
      </c>
      <c r="J41" s="3" t="n">
        <f aca="false">G41*H41*(1-I41/100)</f>
        <v>127.5</v>
      </c>
      <c r="K41" s="3" t="n">
        <f aca="false">G41*15</f>
        <v>90</v>
      </c>
      <c r="L41" s="3" t="n">
        <f aca="false">J41-K41</f>
        <v>37.5</v>
      </c>
    </row>
    <row r="42" customFormat="false" ht="15" hidden="false" customHeight="false" outlineLevel="0" collapsed="false">
      <c r="A42" s="2" t="n">
        <v>41</v>
      </c>
      <c r="B42" s="2" t="s">
        <v>59</v>
      </c>
      <c r="C42" s="2" t="s">
        <v>18</v>
      </c>
      <c r="D42" s="2" t="s">
        <v>26</v>
      </c>
      <c r="E42" s="2" t="s">
        <v>29</v>
      </c>
      <c r="F42" s="2" t="s">
        <v>40</v>
      </c>
      <c r="G42" s="2" t="n">
        <v>14</v>
      </c>
      <c r="H42" s="2" t="n">
        <v>60</v>
      </c>
      <c r="I42" s="2" t="n">
        <v>20</v>
      </c>
      <c r="J42" s="2" t="n">
        <f aca="false">G42*H42*(1-I42/100)</f>
        <v>672</v>
      </c>
      <c r="K42" s="2" t="n">
        <f aca="false">G42*36</f>
        <v>504</v>
      </c>
      <c r="L42" s="2" t="n">
        <f aca="false">J42-K42</f>
        <v>168</v>
      </c>
    </row>
    <row r="43" customFormat="false" ht="15" hidden="false" customHeight="false" outlineLevel="0" collapsed="false">
      <c r="A43" s="3" t="n">
        <v>42</v>
      </c>
      <c r="B43" s="3" t="s">
        <v>60</v>
      </c>
      <c r="C43" s="3" t="s">
        <v>22</v>
      </c>
      <c r="D43" s="3" t="s">
        <v>14</v>
      </c>
      <c r="E43" s="3" t="s">
        <v>15</v>
      </c>
      <c r="F43" s="3" t="s">
        <v>47</v>
      </c>
      <c r="G43" s="3" t="n">
        <v>7</v>
      </c>
      <c r="H43" s="3" t="n">
        <v>600</v>
      </c>
      <c r="I43" s="3" t="n">
        <v>0</v>
      </c>
      <c r="J43" s="3" t="n">
        <f aca="false">G43*H43*(1-I43/100)</f>
        <v>4200</v>
      </c>
      <c r="K43" s="3" t="n">
        <f aca="false">G43*360</f>
        <v>2520</v>
      </c>
      <c r="L43" s="3" t="n">
        <f aca="false">J43-K43</f>
        <v>1680</v>
      </c>
    </row>
    <row r="44" customFormat="false" ht="15" hidden="false" customHeight="false" outlineLevel="0" collapsed="false">
      <c r="A44" s="2" t="n">
        <v>43</v>
      </c>
      <c r="B44" s="2" t="s">
        <v>60</v>
      </c>
      <c r="C44" s="2" t="s">
        <v>18</v>
      </c>
      <c r="D44" s="2" t="s">
        <v>26</v>
      </c>
      <c r="E44" s="2" t="s">
        <v>19</v>
      </c>
      <c r="F44" s="2" t="s">
        <v>34</v>
      </c>
      <c r="G44" s="2" t="n">
        <v>2</v>
      </c>
      <c r="H44" s="2" t="n">
        <v>10</v>
      </c>
      <c r="I44" s="2" t="n">
        <v>0</v>
      </c>
      <c r="J44" s="2" t="n">
        <f aca="false">G44*H44*(1-I44/100)</f>
        <v>20</v>
      </c>
      <c r="K44" s="2" t="n">
        <f aca="false">G44*6</f>
        <v>12</v>
      </c>
      <c r="L44" s="2" t="n">
        <f aca="false">J44-K44</f>
        <v>8</v>
      </c>
    </row>
    <row r="45" customFormat="false" ht="15" hidden="false" customHeight="false" outlineLevel="0" collapsed="false">
      <c r="A45" s="3" t="n">
        <v>44</v>
      </c>
      <c r="B45" s="3" t="s">
        <v>61</v>
      </c>
      <c r="C45" s="3" t="s">
        <v>32</v>
      </c>
      <c r="D45" s="3" t="s">
        <v>26</v>
      </c>
      <c r="E45" s="3" t="s">
        <v>19</v>
      </c>
      <c r="F45" s="3" t="s">
        <v>24</v>
      </c>
      <c r="G45" s="3" t="n">
        <v>6</v>
      </c>
      <c r="H45" s="3" t="n">
        <v>15</v>
      </c>
      <c r="I45" s="3" t="n">
        <v>0</v>
      </c>
      <c r="J45" s="3" t="n">
        <f aca="false">G45*H45*(1-I45/100)</f>
        <v>90</v>
      </c>
      <c r="K45" s="3" t="n">
        <f aca="false">G45*9</f>
        <v>54</v>
      </c>
      <c r="L45" s="3" t="n">
        <f aca="false">J45-K45</f>
        <v>36</v>
      </c>
    </row>
    <row r="46" customFormat="false" ht="15" hidden="false" customHeight="false" outlineLevel="0" collapsed="false">
      <c r="A46" s="2" t="n">
        <v>45</v>
      </c>
      <c r="B46" s="2" t="s">
        <v>62</v>
      </c>
      <c r="C46" s="2" t="s">
        <v>22</v>
      </c>
      <c r="D46" s="2" t="s">
        <v>14</v>
      </c>
      <c r="E46" s="2" t="s">
        <v>29</v>
      </c>
      <c r="F46" s="2" t="s">
        <v>30</v>
      </c>
      <c r="G46" s="2" t="n">
        <v>19</v>
      </c>
      <c r="H46" s="2" t="n">
        <v>25</v>
      </c>
      <c r="I46" s="2" t="n">
        <v>5</v>
      </c>
      <c r="J46" s="2" t="n">
        <f aca="false">G46*H46*(1-I46/100)</f>
        <v>451.25</v>
      </c>
      <c r="K46" s="2" t="n">
        <f aca="false">G46*15</f>
        <v>285</v>
      </c>
      <c r="L46" s="2" t="n">
        <f aca="false">J46-K46</f>
        <v>166.25</v>
      </c>
    </row>
    <row r="47" customFormat="false" ht="15" hidden="false" customHeight="false" outlineLevel="0" collapsed="false">
      <c r="A47" s="3" t="n">
        <v>46</v>
      </c>
      <c r="B47" s="3" t="s">
        <v>62</v>
      </c>
      <c r="C47" s="3" t="s">
        <v>22</v>
      </c>
      <c r="D47" s="3" t="s">
        <v>23</v>
      </c>
      <c r="E47" s="3" t="s">
        <v>19</v>
      </c>
      <c r="F47" s="3" t="s">
        <v>24</v>
      </c>
      <c r="G47" s="3" t="n">
        <v>14</v>
      </c>
      <c r="H47" s="3" t="n">
        <v>15</v>
      </c>
      <c r="I47" s="3" t="n">
        <v>20</v>
      </c>
      <c r="J47" s="3" t="n">
        <f aca="false">G47*H47*(1-I47/100)</f>
        <v>168</v>
      </c>
      <c r="K47" s="3" t="n">
        <f aca="false">G47*9</f>
        <v>126</v>
      </c>
      <c r="L47" s="3" t="n">
        <f aca="false">J47-K47</f>
        <v>42</v>
      </c>
    </row>
    <row r="48" customFormat="false" ht="15" hidden="false" customHeight="false" outlineLevel="0" collapsed="false">
      <c r="A48" s="2" t="n">
        <v>47</v>
      </c>
      <c r="B48" s="2" t="s">
        <v>63</v>
      </c>
      <c r="C48" s="2" t="s">
        <v>18</v>
      </c>
      <c r="D48" s="2" t="s">
        <v>26</v>
      </c>
      <c r="E48" s="2" t="s">
        <v>29</v>
      </c>
      <c r="F48" s="2" t="s">
        <v>30</v>
      </c>
      <c r="G48" s="2" t="n">
        <v>11</v>
      </c>
      <c r="H48" s="2" t="n">
        <v>25</v>
      </c>
      <c r="I48" s="2" t="n">
        <v>5</v>
      </c>
      <c r="J48" s="2" t="n">
        <f aca="false">G48*H48*(1-I48/100)</f>
        <v>261.25</v>
      </c>
      <c r="K48" s="2" t="n">
        <f aca="false">G48*15</f>
        <v>165</v>
      </c>
      <c r="L48" s="2" t="n">
        <f aca="false">J48-K48</f>
        <v>96.25</v>
      </c>
    </row>
    <row r="49" customFormat="false" ht="15" hidden="false" customHeight="false" outlineLevel="0" collapsed="false">
      <c r="A49" s="3" t="n">
        <v>48</v>
      </c>
      <c r="B49" s="3" t="s">
        <v>64</v>
      </c>
      <c r="C49" s="3" t="s">
        <v>32</v>
      </c>
      <c r="D49" s="3" t="s">
        <v>14</v>
      </c>
      <c r="E49" s="3" t="s">
        <v>19</v>
      </c>
      <c r="F49" s="3" t="s">
        <v>20</v>
      </c>
      <c r="G49" s="3" t="n">
        <v>10</v>
      </c>
      <c r="H49" s="3" t="n">
        <v>8</v>
      </c>
      <c r="I49" s="3" t="n">
        <v>15</v>
      </c>
      <c r="J49" s="3" t="n">
        <f aca="false">G49*H49*(1-I49/100)</f>
        <v>68</v>
      </c>
      <c r="K49" s="3" t="n">
        <f aca="false">G49*4.8</f>
        <v>48</v>
      </c>
      <c r="L49" s="3" t="n">
        <f aca="false">J49-K49</f>
        <v>20</v>
      </c>
    </row>
    <row r="50" customFormat="false" ht="15" hidden="false" customHeight="false" outlineLevel="0" collapsed="false">
      <c r="A50" s="2" t="n">
        <v>49</v>
      </c>
      <c r="B50" s="2" t="s">
        <v>65</v>
      </c>
      <c r="C50" s="2" t="s">
        <v>22</v>
      </c>
      <c r="D50" s="2" t="s">
        <v>26</v>
      </c>
      <c r="E50" s="2" t="s">
        <v>29</v>
      </c>
      <c r="F50" s="2" t="s">
        <v>46</v>
      </c>
      <c r="G50" s="2" t="n">
        <v>19</v>
      </c>
      <c r="H50" s="2" t="n">
        <v>120</v>
      </c>
      <c r="I50" s="2" t="n">
        <v>0</v>
      </c>
      <c r="J50" s="2" t="n">
        <f aca="false">G50*H50*(1-I50/100)</f>
        <v>2280</v>
      </c>
      <c r="K50" s="2" t="n">
        <f aca="false">G50*72</f>
        <v>1368</v>
      </c>
      <c r="L50" s="2" t="n">
        <f aca="false">J50-K50</f>
        <v>912</v>
      </c>
    </row>
    <row r="51" customFormat="false" ht="15" hidden="false" customHeight="false" outlineLevel="0" collapsed="false">
      <c r="A51" s="3" t="n">
        <v>50</v>
      </c>
      <c r="B51" s="3" t="s">
        <v>65</v>
      </c>
      <c r="C51" s="3" t="s">
        <v>13</v>
      </c>
      <c r="D51" s="3" t="s">
        <v>23</v>
      </c>
      <c r="E51" s="3" t="s">
        <v>19</v>
      </c>
      <c r="F51" s="3" t="s">
        <v>34</v>
      </c>
      <c r="G51" s="3" t="n">
        <v>5</v>
      </c>
      <c r="H51" s="3" t="n">
        <v>10</v>
      </c>
      <c r="I51" s="3" t="n">
        <v>10</v>
      </c>
      <c r="J51" s="3" t="n">
        <f aca="false">G51*H51*(1-I51/100)</f>
        <v>45</v>
      </c>
      <c r="K51" s="3" t="n">
        <f aca="false">G51*6</f>
        <v>30</v>
      </c>
      <c r="L51" s="3" t="n">
        <f aca="false">J51-K51</f>
        <v>15</v>
      </c>
    </row>
    <row r="52" customFormat="false" ht="15" hidden="false" customHeight="false" outlineLevel="0" collapsed="false">
      <c r="A52" s="2" t="n">
        <v>51</v>
      </c>
      <c r="B52" s="2" t="s">
        <v>66</v>
      </c>
      <c r="C52" s="2" t="s">
        <v>28</v>
      </c>
      <c r="D52" s="2" t="s">
        <v>14</v>
      </c>
      <c r="E52" s="2" t="s">
        <v>29</v>
      </c>
      <c r="F52" s="2" t="s">
        <v>30</v>
      </c>
      <c r="G52" s="2" t="n">
        <v>15</v>
      </c>
      <c r="H52" s="2" t="n">
        <v>25</v>
      </c>
      <c r="I52" s="2" t="n">
        <v>20</v>
      </c>
      <c r="J52" s="2" t="n">
        <f aca="false">G52*H52*(1-I52/100)</f>
        <v>300</v>
      </c>
      <c r="K52" s="2" t="n">
        <f aca="false">G52*15</f>
        <v>225</v>
      </c>
      <c r="L52" s="2" t="n">
        <f aca="false">J52-K52</f>
        <v>75</v>
      </c>
    </row>
    <row r="53" customFormat="false" ht="15" hidden="false" customHeight="false" outlineLevel="0" collapsed="false">
      <c r="A53" s="3" t="n">
        <v>52</v>
      </c>
      <c r="B53" s="3" t="s">
        <v>67</v>
      </c>
      <c r="C53" s="3" t="s">
        <v>28</v>
      </c>
      <c r="D53" s="3" t="s">
        <v>14</v>
      </c>
      <c r="E53" s="3" t="s">
        <v>19</v>
      </c>
      <c r="F53" s="3" t="s">
        <v>20</v>
      </c>
      <c r="G53" s="3" t="n">
        <v>10</v>
      </c>
      <c r="H53" s="3" t="n">
        <v>8</v>
      </c>
      <c r="I53" s="3" t="n">
        <v>0</v>
      </c>
      <c r="J53" s="3" t="n">
        <f aca="false">G53*H53*(1-I53/100)</f>
        <v>80</v>
      </c>
      <c r="K53" s="3" t="n">
        <f aca="false">G53*4.8</f>
        <v>48</v>
      </c>
      <c r="L53" s="3" t="n">
        <f aca="false">J53-K53</f>
        <v>32</v>
      </c>
    </row>
    <row r="54" customFormat="false" ht="15" hidden="false" customHeight="false" outlineLevel="0" collapsed="false">
      <c r="A54" s="2" t="n">
        <v>53</v>
      </c>
      <c r="B54" s="2" t="s">
        <v>63</v>
      </c>
      <c r="C54" s="2" t="s">
        <v>28</v>
      </c>
      <c r="D54" s="2" t="s">
        <v>26</v>
      </c>
      <c r="E54" s="2" t="s">
        <v>15</v>
      </c>
      <c r="F54" s="2" t="s">
        <v>36</v>
      </c>
      <c r="G54" s="2" t="n">
        <v>18</v>
      </c>
      <c r="H54" s="2" t="n">
        <v>400</v>
      </c>
      <c r="I54" s="2" t="n">
        <v>5</v>
      </c>
      <c r="J54" s="2" t="n">
        <f aca="false">G54*H54*(1-I54/100)</f>
        <v>6840</v>
      </c>
      <c r="K54" s="2" t="n">
        <f aca="false">G54*240</f>
        <v>4320</v>
      </c>
      <c r="L54" s="2" t="n">
        <f aca="false">J54-K54</f>
        <v>2520</v>
      </c>
    </row>
    <row r="55" customFormat="false" ht="15" hidden="false" customHeight="false" outlineLevel="0" collapsed="false">
      <c r="A55" s="3" t="n">
        <v>54</v>
      </c>
      <c r="B55" s="3" t="s">
        <v>68</v>
      </c>
      <c r="C55" s="3" t="s">
        <v>18</v>
      </c>
      <c r="D55" s="3" t="s">
        <v>23</v>
      </c>
      <c r="E55" s="3" t="s">
        <v>19</v>
      </c>
      <c r="F55" s="3" t="s">
        <v>34</v>
      </c>
      <c r="G55" s="3" t="n">
        <v>7</v>
      </c>
      <c r="H55" s="3" t="n">
        <v>10</v>
      </c>
      <c r="I55" s="3" t="n">
        <v>10</v>
      </c>
      <c r="J55" s="3" t="n">
        <f aca="false">G55*H55*(1-I55/100)</f>
        <v>63</v>
      </c>
      <c r="K55" s="3" t="n">
        <f aca="false">G55*6</f>
        <v>42</v>
      </c>
      <c r="L55" s="3" t="n">
        <f aca="false">J55-K55</f>
        <v>21</v>
      </c>
    </row>
    <row r="56" customFormat="false" ht="15" hidden="false" customHeight="false" outlineLevel="0" collapsed="false">
      <c r="A56" s="2" t="n">
        <v>55</v>
      </c>
      <c r="B56" s="2" t="s">
        <v>69</v>
      </c>
      <c r="C56" s="2" t="s">
        <v>32</v>
      </c>
      <c r="D56" s="2" t="s">
        <v>23</v>
      </c>
      <c r="E56" s="2" t="s">
        <v>15</v>
      </c>
      <c r="F56" s="2" t="s">
        <v>16</v>
      </c>
      <c r="G56" s="2" t="n">
        <v>14</v>
      </c>
      <c r="H56" s="2" t="n">
        <v>1200</v>
      </c>
      <c r="I56" s="2" t="n">
        <v>10</v>
      </c>
      <c r="J56" s="2" t="n">
        <f aca="false">G56*H56*(1-I56/100)</f>
        <v>15120</v>
      </c>
      <c r="K56" s="2" t="n">
        <f aca="false">G56*720</f>
        <v>10080</v>
      </c>
      <c r="L56" s="2" t="n">
        <f aca="false">J56-K56</f>
        <v>5040</v>
      </c>
    </row>
    <row r="57" customFormat="false" ht="15" hidden="false" customHeight="false" outlineLevel="0" collapsed="false">
      <c r="A57" s="3" t="n">
        <v>56</v>
      </c>
      <c r="B57" s="3" t="s">
        <v>70</v>
      </c>
      <c r="C57" s="3" t="s">
        <v>18</v>
      </c>
      <c r="D57" s="3" t="s">
        <v>33</v>
      </c>
      <c r="E57" s="3" t="s">
        <v>15</v>
      </c>
      <c r="F57" s="3" t="s">
        <v>36</v>
      </c>
      <c r="G57" s="3" t="n">
        <v>9</v>
      </c>
      <c r="H57" s="3" t="n">
        <v>400</v>
      </c>
      <c r="I57" s="3" t="n">
        <v>5</v>
      </c>
      <c r="J57" s="3" t="n">
        <f aca="false">G57*H57*(1-I57/100)</f>
        <v>3420</v>
      </c>
      <c r="K57" s="3" t="n">
        <f aca="false">G57*240</f>
        <v>2160</v>
      </c>
      <c r="L57" s="3" t="n">
        <f aca="false">J57-K57</f>
        <v>1260</v>
      </c>
    </row>
    <row r="58" customFormat="false" ht="15" hidden="false" customHeight="false" outlineLevel="0" collapsed="false">
      <c r="A58" s="2" t="n">
        <v>57</v>
      </c>
      <c r="B58" s="2" t="s">
        <v>66</v>
      </c>
      <c r="C58" s="2" t="s">
        <v>13</v>
      </c>
      <c r="D58" s="2" t="s">
        <v>14</v>
      </c>
      <c r="E58" s="2" t="s">
        <v>19</v>
      </c>
      <c r="F58" s="2" t="s">
        <v>24</v>
      </c>
      <c r="G58" s="2" t="n">
        <v>4</v>
      </c>
      <c r="H58" s="2" t="n">
        <v>15</v>
      </c>
      <c r="I58" s="2" t="n">
        <v>0</v>
      </c>
      <c r="J58" s="2" t="n">
        <f aca="false">G58*H58*(1-I58/100)</f>
        <v>60</v>
      </c>
      <c r="K58" s="2" t="n">
        <f aca="false">G58*9</f>
        <v>36</v>
      </c>
      <c r="L58" s="2" t="n">
        <f aca="false">J58-K58</f>
        <v>24</v>
      </c>
    </row>
    <row r="59" customFormat="false" ht="15" hidden="false" customHeight="false" outlineLevel="0" collapsed="false">
      <c r="A59" s="3" t="n">
        <v>58</v>
      </c>
      <c r="B59" s="3" t="s">
        <v>71</v>
      </c>
      <c r="C59" s="3" t="s">
        <v>13</v>
      </c>
      <c r="D59" s="3" t="s">
        <v>14</v>
      </c>
      <c r="E59" s="3" t="s">
        <v>29</v>
      </c>
      <c r="F59" s="3" t="s">
        <v>46</v>
      </c>
      <c r="G59" s="3" t="n">
        <v>18</v>
      </c>
      <c r="H59" s="3" t="n">
        <v>120</v>
      </c>
      <c r="I59" s="3" t="n">
        <v>5</v>
      </c>
      <c r="J59" s="3" t="n">
        <f aca="false">G59*H59*(1-I59/100)</f>
        <v>2052</v>
      </c>
      <c r="K59" s="3" t="n">
        <f aca="false">G59*72</f>
        <v>1296</v>
      </c>
      <c r="L59" s="3" t="n">
        <f aca="false">J59-K59</f>
        <v>756</v>
      </c>
    </row>
    <row r="60" customFormat="false" ht="15" hidden="false" customHeight="false" outlineLevel="0" collapsed="false">
      <c r="A60" s="2" t="n">
        <v>59</v>
      </c>
      <c r="B60" s="2" t="s">
        <v>72</v>
      </c>
      <c r="C60" s="2" t="s">
        <v>13</v>
      </c>
      <c r="D60" s="2" t="s">
        <v>14</v>
      </c>
      <c r="E60" s="2" t="s">
        <v>29</v>
      </c>
      <c r="F60" s="2" t="s">
        <v>30</v>
      </c>
      <c r="G60" s="2" t="n">
        <v>12</v>
      </c>
      <c r="H60" s="2" t="n">
        <v>25</v>
      </c>
      <c r="I60" s="2" t="n">
        <v>5</v>
      </c>
      <c r="J60" s="2" t="n">
        <f aca="false">G60*H60*(1-I60/100)</f>
        <v>285</v>
      </c>
      <c r="K60" s="2" t="n">
        <f aca="false">G60*15</f>
        <v>180</v>
      </c>
      <c r="L60" s="2" t="n">
        <f aca="false">J60-K60</f>
        <v>105</v>
      </c>
    </row>
    <row r="61" customFormat="false" ht="15" hidden="false" customHeight="false" outlineLevel="0" collapsed="false">
      <c r="A61" s="3" t="n">
        <v>60</v>
      </c>
      <c r="B61" s="3" t="s">
        <v>73</v>
      </c>
      <c r="C61" s="3" t="s">
        <v>13</v>
      </c>
      <c r="D61" s="3" t="s">
        <v>26</v>
      </c>
      <c r="E61" s="3" t="s">
        <v>29</v>
      </c>
      <c r="F61" s="3" t="s">
        <v>46</v>
      </c>
      <c r="G61" s="3" t="n">
        <v>14</v>
      </c>
      <c r="H61" s="3" t="n">
        <v>120</v>
      </c>
      <c r="I61" s="3" t="n">
        <v>20</v>
      </c>
      <c r="J61" s="3" t="n">
        <f aca="false">G61*H61*(1-I61/100)</f>
        <v>1344</v>
      </c>
      <c r="K61" s="3" t="n">
        <f aca="false">G61*72</f>
        <v>1008</v>
      </c>
      <c r="L61" s="3" t="n">
        <f aca="false">J61-K61</f>
        <v>336</v>
      </c>
    </row>
    <row r="62" customFormat="false" ht="15" hidden="false" customHeight="false" outlineLevel="0" collapsed="false">
      <c r="A62" s="2" t="n">
        <v>61</v>
      </c>
      <c r="B62" s="2" t="s">
        <v>74</v>
      </c>
      <c r="C62" s="2" t="s">
        <v>28</v>
      </c>
      <c r="D62" s="2" t="s">
        <v>33</v>
      </c>
      <c r="E62" s="2" t="s">
        <v>15</v>
      </c>
      <c r="F62" s="2" t="s">
        <v>16</v>
      </c>
      <c r="G62" s="2" t="n">
        <v>14</v>
      </c>
      <c r="H62" s="2" t="n">
        <v>1200</v>
      </c>
      <c r="I62" s="2" t="n">
        <v>0</v>
      </c>
      <c r="J62" s="2" t="n">
        <f aca="false">G62*H62*(1-I62/100)</f>
        <v>16800</v>
      </c>
      <c r="K62" s="2" t="n">
        <f aca="false">G62*720</f>
        <v>10080</v>
      </c>
      <c r="L62" s="2" t="n">
        <f aca="false">J62-K62</f>
        <v>6720</v>
      </c>
    </row>
    <row r="63" customFormat="false" ht="15" hidden="false" customHeight="false" outlineLevel="0" collapsed="false">
      <c r="A63" s="3" t="n">
        <v>62</v>
      </c>
      <c r="B63" s="3" t="s">
        <v>74</v>
      </c>
      <c r="C63" s="3" t="s">
        <v>32</v>
      </c>
      <c r="D63" s="3" t="s">
        <v>33</v>
      </c>
      <c r="E63" s="3" t="s">
        <v>19</v>
      </c>
      <c r="F63" s="3" t="s">
        <v>20</v>
      </c>
      <c r="G63" s="3" t="n">
        <v>8</v>
      </c>
      <c r="H63" s="3" t="n">
        <v>8</v>
      </c>
      <c r="I63" s="3" t="n">
        <v>10</v>
      </c>
      <c r="J63" s="3" t="n">
        <f aca="false">G63*H63*(1-I63/100)</f>
        <v>57.6</v>
      </c>
      <c r="K63" s="3" t="n">
        <f aca="false">G63*4.8</f>
        <v>38.4</v>
      </c>
      <c r="L63" s="3" t="n">
        <f aca="false">J63-K63</f>
        <v>19.2</v>
      </c>
    </row>
    <row r="64" customFormat="false" ht="15" hidden="false" customHeight="false" outlineLevel="0" collapsed="false">
      <c r="A64" s="2" t="n">
        <v>63</v>
      </c>
      <c r="B64" s="2" t="s">
        <v>75</v>
      </c>
      <c r="C64" s="2" t="s">
        <v>18</v>
      </c>
      <c r="D64" s="2" t="s">
        <v>23</v>
      </c>
      <c r="E64" s="2" t="s">
        <v>15</v>
      </c>
      <c r="F64" s="2" t="s">
        <v>47</v>
      </c>
      <c r="G64" s="2" t="n">
        <v>8</v>
      </c>
      <c r="H64" s="2" t="n">
        <v>600</v>
      </c>
      <c r="I64" s="2" t="n">
        <v>5</v>
      </c>
      <c r="J64" s="2" t="n">
        <f aca="false">G64*H64*(1-I64/100)</f>
        <v>4560</v>
      </c>
      <c r="K64" s="2" t="n">
        <f aca="false">G64*360</f>
        <v>2880</v>
      </c>
      <c r="L64" s="2" t="n">
        <f aca="false">J64-K64</f>
        <v>1680</v>
      </c>
    </row>
    <row r="65" customFormat="false" ht="15" hidden="false" customHeight="false" outlineLevel="0" collapsed="false">
      <c r="A65" s="3" t="n">
        <v>64</v>
      </c>
      <c r="B65" s="3" t="s">
        <v>72</v>
      </c>
      <c r="C65" s="3" t="s">
        <v>13</v>
      </c>
      <c r="D65" s="3" t="s">
        <v>33</v>
      </c>
      <c r="E65" s="3" t="s">
        <v>29</v>
      </c>
      <c r="F65" s="3" t="s">
        <v>30</v>
      </c>
      <c r="G65" s="3" t="n">
        <v>8</v>
      </c>
      <c r="H65" s="3" t="n">
        <v>25</v>
      </c>
      <c r="I65" s="3" t="n">
        <v>0</v>
      </c>
      <c r="J65" s="3" t="n">
        <f aca="false">G65*H65*(1-I65/100)</f>
        <v>200</v>
      </c>
      <c r="K65" s="3" t="n">
        <f aca="false">G65*15</f>
        <v>120</v>
      </c>
      <c r="L65" s="3" t="n">
        <f aca="false">J65-K65</f>
        <v>80</v>
      </c>
    </row>
    <row r="66" customFormat="false" ht="15" hidden="false" customHeight="false" outlineLevel="0" collapsed="false">
      <c r="A66" s="2" t="n">
        <v>65</v>
      </c>
      <c r="B66" s="2" t="s">
        <v>76</v>
      </c>
      <c r="C66" s="2" t="s">
        <v>22</v>
      </c>
      <c r="D66" s="2" t="s">
        <v>33</v>
      </c>
      <c r="E66" s="2" t="s">
        <v>29</v>
      </c>
      <c r="F66" s="2" t="s">
        <v>40</v>
      </c>
      <c r="G66" s="2" t="n">
        <v>3</v>
      </c>
      <c r="H66" s="2" t="n">
        <v>60</v>
      </c>
      <c r="I66" s="2" t="n">
        <v>10</v>
      </c>
      <c r="J66" s="2" t="n">
        <f aca="false">G66*H66*(1-I66/100)</f>
        <v>162</v>
      </c>
      <c r="K66" s="2" t="n">
        <f aca="false">G66*36</f>
        <v>108</v>
      </c>
      <c r="L66" s="2" t="n">
        <f aca="false">J66-K66</f>
        <v>54</v>
      </c>
    </row>
    <row r="67" customFormat="false" ht="15" hidden="false" customHeight="false" outlineLevel="0" collapsed="false">
      <c r="A67" s="3" t="n">
        <v>66</v>
      </c>
      <c r="B67" s="3" t="s">
        <v>77</v>
      </c>
      <c r="C67" s="3" t="s">
        <v>28</v>
      </c>
      <c r="D67" s="3" t="s">
        <v>26</v>
      </c>
      <c r="E67" s="3" t="s">
        <v>19</v>
      </c>
      <c r="F67" s="3" t="s">
        <v>20</v>
      </c>
      <c r="G67" s="3" t="n">
        <v>11</v>
      </c>
      <c r="H67" s="3" t="n">
        <v>8</v>
      </c>
      <c r="I67" s="3" t="n">
        <v>0</v>
      </c>
      <c r="J67" s="3" t="n">
        <f aca="false">G67*H67*(1-I67/100)</f>
        <v>88</v>
      </c>
      <c r="K67" s="3" t="n">
        <f aca="false">G67*4.8</f>
        <v>52.8</v>
      </c>
      <c r="L67" s="3" t="n">
        <f aca="false">J67-K67</f>
        <v>35.2</v>
      </c>
    </row>
    <row r="68" customFormat="false" ht="15" hidden="false" customHeight="false" outlineLevel="0" collapsed="false">
      <c r="A68" s="2" t="n">
        <v>67</v>
      </c>
      <c r="B68" s="2" t="s">
        <v>78</v>
      </c>
      <c r="C68" s="2" t="s">
        <v>18</v>
      </c>
      <c r="D68" s="2" t="s">
        <v>23</v>
      </c>
      <c r="E68" s="2" t="s">
        <v>19</v>
      </c>
      <c r="F68" s="2" t="s">
        <v>34</v>
      </c>
      <c r="G68" s="2" t="n">
        <v>2</v>
      </c>
      <c r="H68" s="2" t="n">
        <v>10</v>
      </c>
      <c r="I68" s="2" t="n">
        <v>0</v>
      </c>
      <c r="J68" s="2" t="n">
        <f aca="false">G68*H68*(1-I68/100)</f>
        <v>20</v>
      </c>
      <c r="K68" s="2" t="n">
        <f aca="false">G68*6</f>
        <v>12</v>
      </c>
      <c r="L68" s="2" t="n">
        <f aca="false">J68-K68</f>
        <v>8</v>
      </c>
    </row>
    <row r="69" customFormat="false" ht="15" hidden="false" customHeight="false" outlineLevel="0" collapsed="false">
      <c r="A69" s="3" t="n">
        <v>68</v>
      </c>
      <c r="B69" s="3" t="s">
        <v>79</v>
      </c>
      <c r="C69" s="3" t="s">
        <v>32</v>
      </c>
      <c r="D69" s="3" t="s">
        <v>33</v>
      </c>
      <c r="E69" s="3" t="s">
        <v>19</v>
      </c>
      <c r="F69" s="3" t="s">
        <v>34</v>
      </c>
      <c r="G69" s="3" t="n">
        <v>14</v>
      </c>
      <c r="H69" s="3" t="n">
        <v>10</v>
      </c>
      <c r="I69" s="3" t="n">
        <v>20</v>
      </c>
      <c r="J69" s="3" t="n">
        <f aca="false">G69*H69*(1-I69/100)</f>
        <v>112</v>
      </c>
      <c r="K69" s="3" t="n">
        <f aca="false">G69*6</f>
        <v>84</v>
      </c>
      <c r="L69" s="3" t="n">
        <f aca="false">J69-K69</f>
        <v>28</v>
      </c>
    </row>
    <row r="70" customFormat="false" ht="15" hidden="false" customHeight="false" outlineLevel="0" collapsed="false">
      <c r="A70" s="2" t="n">
        <v>69</v>
      </c>
      <c r="B70" s="2" t="s">
        <v>80</v>
      </c>
      <c r="C70" s="2" t="s">
        <v>18</v>
      </c>
      <c r="D70" s="2" t="s">
        <v>14</v>
      </c>
      <c r="E70" s="2" t="s">
        <v>19</v>
      </c>
      <c r="F70" s="2" t="s">
        <v>24</v>
      </c>
      <c r="G70" s="2" t="n">
        <v>9</v>
      </c>
      <c r="H70" s="2" t="n">
        <v>15</v>
      </c>
      <c r="I70" s="2" t="n">
        <v>0</v>
      </c>
      <c r="J70" s="2" t="n">
        <f aca="false">G70*H70*(1-I70/100)</f>
        <v>135</v>
      </c>
      <c r="K70" s="2" t="n">
        <f aca="false">G70*9</f>
        <v>81</v>
      </c>
      <c r="L70" s="2" t="n">
        <f aca="false">J70-K70</f>
        <v>54</v>
      </c>
    </row>
    <row r="71" customFormat="false" ht="15" hidden="false" customHeight="false" outlineLevel="0" collapsed="false">
      <c r="A71" s="3" t="n">
        <v>70</v>
      </c>
      <c r="B71" s="3" t="s">
        <v>81</v>
      </c>
      <c r="C71" s="3" t="s">
        <v>32</v>
      </c>
      <c r="D71" s="3" t="s">
        <v>23</v>
      </c>
      <c r="E71" s="3" t="s">
        <v>19</v>
      </c>
      <c r="F71" s="3" t="s">
        <v>20</v>
      </c>
      <c r="G71" s="3" t="n">
        <v>7</v>
      </c>
      <c r="H71" s="3" t="n">
        <v>8</v>
      </c>
      <c r="I71" s="3" t="n">
        <v>10</v>
      </c>
      <c r="J71" s="3" t="n">
        <f aca="false">G71*H71*(1-I71/100)</f>
        <v>50.4</v>
      </c>
      <c r="K71" s="3" t="n">
        <f aca="false">G71*4.8</f>
        <v>33.6</v>
      </c>
      <c r="L71" s="3" t="n">
        <f aca="false">J71-K71</f>
        <v>16.8</v>
      </c>
    </row>
    <row r="72" customFormat="false" ht="15" hidden="false" customHeight="false" outlineLevel="0" collapsed="false">
      <c r="A72" s="2" t="n">
        <v>71</v>
      </c>
      <c r="B72" s="2" t="s">
        <v>79</v>
      </c>
      <c r="C72" s="2" t="s">
        <v>28</v>
      </c>
      <c r="D72" s="2" t="s">
        <v>33</v>
      </c>
      <c r="E72" s="2" t="s">
        <v>19</v>
      </c>
      <c r="F72" s="2" t="s">
        <v>34</v>
      </c>
      <c r="G72" s="2" t="n">
        <v>4</v>
      </c>
      <c r="H72" s="2" t="n">
        <v>10</v>
      </c>
      <c r="I72" s="2" t="n">
        <v>10</v>
      </c>
      <c r="J72" s="2" t="n">
        <f aca="false">G72*H72*(1-I72/100)</f>
        <v>36</v>
      </c>
      <c r="K72" s="2" t="n">
        <f aca="false">G72*6</f>
        <v>24</v>
      </c>
      <c r="L72" s="2" t="n">
        <f aca="false">J72-K72</f>
        <v>12</v>
      </c>
    </row>
    <row r="73" customFormat="false" ht="15" hidden="false" customHeight="false" outlineLevel="0" collapsed="false">
      <c r="A73" s="3" t="n">
        <v>72</v>
      </c>
      <c r="B73" s="3" t="s">
        <v>82</v>
      </c>
      <c r="C73" s="3" t="s">
        <v>13</v>
      </c>
      <c r="D73" s="3" t="s">
        <v>33</v>
      </c>
      <c r="E73" s="3" t="s">
        <v>29</v>
      </c>
      <c r="F73" s="3" t="s">
        <v>40</v>
      </c>
      <c r="G73" s="3" t="n">
        <v>10</v>
      </c>
      <c r="H73" s="3" t="n">
        <v>60</v>
      </c>
      <c r="I73" s="3" t="n">
        <v>20</v>
      </c>
      <c r="J73" s="3" t="n">
        <f aca="false">G73*H73*(1-I73/100)</f>
        <v>480</v>
      </c>
      <c r="K73" s="3" t="n">
        <f aca="false">G73*36</f>
        <v>360</v>
      </c>
      <c r="L73" s="3" t="n">
        <f aca="false">J73-K73</f>
        <v>120</v>
      </c>
    </row>
    <row r="74" customFormat="false" ht="15" hidden="false" customHeight="false" outlineLevel="0" collapsed="false">
      <c r="A74" s="2" t="n">
        <v>73</v>
      </c>
      <c r="B74" s="2" t="s">
        <v>83</v>
      </c>
      <c r="C74" s="2" t="s">
        <v>28</v>
      </c>
      <c r="D74" s="2" t="s">
        <v>33</v>
      </c>
      <c r="E74" s="2" t="s">
        <v>19</v>
      </c>
      <c r="F74" s="2" t="s">
        <v>34</v>
      </c>
      <c r="G74" s="2" t="n">
        <v>6</v>
      </c>
      <c r="H74" s="2" t="n">
        <v>10</v>
      </c>
      <c r="I74" s="2" t="n">
        <v>20</v>
      </c>
      <c r="J74" s="2" t="n">
        <f aca="false">G74*H74*(1-I74/100)</f>
        <v>48</v>
      </c>
      <c r="K74" s="2" t="n">
        <f aca="false">G74*6</f>
        <v>36</v>
      </c>
      <c r="L74" s="2" t="n">
        <f aca="false">J74-K74</f>
        <v>12</v>
      </c>
    </row>
    <row r="75" customFormat="false" ht="15" hidden="false" customHeight="false" outlineLevel="0" collapsed="false">
      <c r="A75" s="3" t="n">
        <v>74</v>
      </c>
      <c r="B75" s="3" t="s">
        <v>84</v>
      </c>
      <c r="C75" s="3" t="s">
        <v>18</v>
      </c>
      <c r="D75" s="3" t="s">
        <v>23</v>
      </c>
      <c r="E75" s="3" t="s">
        <v>19</v>
      </c>
      <c r="F75" s="3" t="s">
        <v>24</v>
      </c>
      <c r="G75" s="3" t="n">
        <v>10</v>
      </c>
      <c r="H75" s="3" t="n">
        <v>15</v>
      </c>
      <c r="I75" s="3" t="n">
        <v>10</v>
      </c>
      <c r="J75" s="3" t="n">
        <f aca="false">G75*H75*(1-I75/100)</f>
        <v>135</v>
      </c>
      <c r="K75" s="3" t="n">
        <f aca="false">G75*9</f>
        <v>90</v>
      </c>
      <c r="L75" s="3" t="n">
        <f aca="false">J75-K75</f>
        <v>45</v>
      </c>
    </row>
    <row r="76" customFormat="false" ht="15" hidden="false" customHeight="false" outlineLevel="0" collapsed="false">
      <c r="A76" s="2" t="n">
        <v>75</v>
      </c>
      <c r="B76" s="2" t="s">
        <v>79</v>
      </c>
      <c r="C76" s="2" t="s">
        <v>18</v>
      </c>
      <c r="D76" s="2" t="s">
        <v>26</v>
      </c>
      <c r="E76" s="2" t="s">
        <v>29</v>
      </c>
      <c r="F76" s="2" t="s">
        <v>40</v>
      </c>
      <c r="G76" s="2" t="n">
        <v>15</v>
      </c>
      <c r="H76" s="2" t="n">
        <v>60</v>
      </c>
      <c r="I76" s="2" t="n">
        <v>5</v>
      </c>
      <c r="J76" s="2" t="n">
        <f aca="false">G76*H76*(1-I76/100)</f>
        <v>855</v>
      </c>
      <c r="K76" s="2" t="n">
        <f aca="false">G76*36</f>
        <v>540</v>
      </c>
      <c r="L76" s="2" t="n">
        <f aca="false">J76-K76</f>
        <v>315</v>
      </c>
    </row>
    <row r="77" customFormat="false" ht="15" hidden="false" customHeight="false" outlineLevel="0" collapsed="false">
      <c r="A77" s="3" t="n">
        <v>76</v>
      </c>
      <c r="B77" s="3" t="s">
        <v>72</v>
      </c>
      <c r="C77" s="3" t="s">
        <v>22</v>
      </c>
      <c r="D77" s="3" t="s">
        <v>23</v>
      </c>
      <c r="E77" s="3" t="s">
        <v>19</v>
      </c>
      <c r="F77" s="3" t="s">
        <v>24</v>
      </c>
      <c r="G77" s="3" t="n">
        <v>10</v>
      </c>
      <c r="H77" s="3" t="n">
        <v>15</v>
      </c>
      <c r="I77" s="3" t="n">
        <v>20</v>
      </c>
      <c r="J77" s="3" t="n">
        <f aca="false">G77*H77*(1-I77/100)</f>
        <v>120</v>
      </c>
      <c r="K77" s="3" t="n">
        <f aca="false">G77*9</f>
        <v>90</v>
      </c>
      <c r="L77" s="3" t="n">
        <f aca="false">J77-K77</f>
        <v>30</v>
      </c>
    </row>
    <row r="78" customFormat="false" ht="15" hidden="false" customHeight="false" outlineLevel="0" collapsed="false">
      <c r="A78" s="2" t="n">
        <v>77</v>
      </c>
      <c r="B78" s="2" t="s">
        <v>85</v>
      </c>
      <c r="C78" s="2" t="s">
        <v>13</v>
      </c>
      <c r="D78" s="2" t="s">
        <v>26</v>
      </c>
      <c r="E78" s="2" t="s">
        <v>15</v>
      </c>
      <c r="F78" s="2" t="s">
        <v>16</v>
      </c>
      <c r="G78" s="2" t="n">
        <v>10</v>
      </c>
      <c r="H78" s="2" t="n">
        <v>1200</v>
      </c>
      <c r="I78" s="2" t="n">
        <v>5</v>
      </c>
      <c r="J78" s="2" t="n">
        <f aca="false">G78*H78*(1-I78/100)</f>
        <v>11400</v>
      </c>
      <c r="K78" s="2" t="n">
        <f aca="false">G78*720</f>
        <v>7200</v>
      </c>
      <c r="L78" s="2" t="n">
        <f aca="false">J78-K78</f>
        <v>4200</v>
      </c>
    </row>
    <row r="79" customFormat="false" ht="15" hidden="false" customHeight="false" outlineLevel="0" collapsed="false">
      <c r="A79" s="3" t="n">
        <v>78</v>
      </c>
      <c r="B79" s="3" t="s">
        <v>86</v>
      </c>
      <c r="C79" s="3" t="s">
        <v>32</v>
      </c>
      <c r="D79" s="3" t="s">
        <v>33</v>
      </c>
      <c r="E79" s="3" t="s">
        <v>15</v>
      </c>
      <c r="F79" s="3" t="s">
        <v>16</v>
      </c>
      <c r="G79" s="3" t="n">
        <v>16</v>
      </c>
      <c r="H79" s="3" t="n">
        <v>1200</v>
      </c>
      <c r="I79" s="3" t="n">
        <v>20</v>
      </c>
      <c r="J79" s="3" t="n">
        <f aca="false">G79*H79*(1-I79/100)</f>
        <v>15360</v>
      </c>
      <c r="K79" s="3" t="n">
        <f aca="false">G79*720</f>
        <v>11520</v>
      </c>
      <c r="L79" s="3" t="n">
        <f aca="false">J79-K79</f>
        <v>3840</v>
      </c>
    </row>
    <row r="80" customFormat="false" ht="15" hidden="false" customHeight="false" outlineLevel="0" collapsed="false">
      <c r="A80" s="2" t="n">
        <v>79</v>
      </c>
      <c r="B80" s="2" t="s">
        <v>87</v>
      </c>
      <c r="C80" s="2" t="s">
        <v>18</v>
      </c>
      <c r="D80" s="2" t="s">
        <v>33</v>
      </c>
      <c r="E80" s="2" t="s">
        <v>29</v>
      </c>
      <c r="F80" s="2" t="s">
        <v>46</v>
      </c>
      <c r="G80" s="2" t="n">
        <v>19</v>
      </c>
      <c r="H80" s="2" t="n">
        <v>120</v>
      </c>
      <c r="I80" s="2" t="n">
        <v>5</v>
      </c>
      <c r="J80" s="2" t="n">
        <f aca="false">G80*H80*(1-I80/100)</f>
        <v>2166</v>
      </c>
      <c r="K80" s="2" t="n">
        <f aca="false">G80*72</f>
        <v>1368</v>
      </c>
      <c r="L80" s="2" t="n">
        <f aca="false">J80-K80</f>
        <v>798</v>
      </c>
    </row>
    <row r="81" customFormat="false" ht="15" hidden="false" customHeight="false" outlineLevel="0" collapsed="false">
      <c r="A81" s="3" t="n">
        <v>80</v>
      </c>
      <c r="B81" s="3" t="s">
        <v>88</v>
      </c>
      <c r="C81" s="3" t="s">
        <v>32</v>
      </c>
      <c r="D81" s="3" t="s">
        <v>33</v>
      </c>
      <c r="E81" s="3" t="s">
        <v>29</v>
      </c>
      <c r="F81" s="3" t="s">
        <v>30</v>
      </c>
      <c r="G81" s="3" t="n">
        <v>5</v>
      </c>
      <c r="H81" s="3" t="n">
        <v>25</v>
      </c>
      <c r="I81" s="3" t="n">
        <v>0</v>
      </c>
      <c r="J81" s="3" t="n">
        <f aca="false">G81*H81*(1-I81/100)</f>
        <v>125</v>
      </c>
      <c r="K81" s="3" t="n">
        <f aca="false">G81*15</f>
        <v>75</v>
      </c>
      <c r="L81" s="3" t="n">
        <f aca="false">J81-K81</f>
        <v>50</v>
      </c>
    </row>
    <row r="82" customFormat="false" ht="15" hidden="false" customHeight="false" outlineLevel="0" collapsed="false">
      <c r="A82" s="2" t="n">
        <v>81</v>
      </c>
      <c r="B82" s="2" t="s">
        <v>89</v>
      </c>
      <c r="C82" s="2" t="s">
        <v>22</v>
      </c>
      <c r="D82" s="2" t="s">
        <v>26</v>
      </c>
      <c r="E82" s="2" t="s">
        <v>15</v>
      </c>
      <c r="F82" s="2" t="s">
        <v>16</v>
      </c>
      <c r="G82" s="2" t="n">
        <v>17</v>
      </c>
      <c r="H82" s="2" t="n">
        <v>1200</v>
      </c>
      <c r="I82" s="2" t="n">
        <v>15</v>
      </c>
      <c r="J82" s="2" t="n">
        <f aca="false">G82*H82*(1-I82/100)</f>
        <v>17340</v>
      </c>
      <c r="K82" s="2" t="n">
        <f aca="false">G82*720</f>
        <v>12240</v>
      </c>
      <c r="L82" s="2" t="n">
        <f aca="false">J82-K82</f>
        <v>5100</v>
      </c>
    </row>
    <row r="83" customFormat="false" ht="15" hidden="false" customHeight="false" outlineLevel="0" collapsed="false">
      <c r="A83" s="3" t="n">
        <v>82</v>
      </c>
      <c r="B83" s="3" t="s">
        <v>90</v>
      </c>
      <c r="C83" s="3" t="s">
        <v>22</v>
      </c>
      <c r="D83" s="3" t="s">
        <v>23</v>
      </c>
      <c r="E83" s="3" t="s">
        <v>15</v>
      </c>
      <c r="F83" s="3" t="s">
        <v>47</v>
      </c>
      <c r="G83" s="3" t="n">
        <v>5</v>
      </c>
      <c r="H83" s="3" t="n">
        <v>600</v>
      </c>
      <c r="I83" s="3" t="n">
        <v>15</v>
      </c>
      <c r="J83" s="3" t="n">
        <f aca="false">G83*H83*(1-I83/100)</f>
        <v>2550</v>
      </c>
      <c r="K83" s="3" t="n">
        <f aca="false">G83*360</f>
        <v>1800</v>
      </c>
      <c r="L83" s="3" t="n">
        <f aca="false">J83-K83</f>
        <v>750</v>
      </c>
    </row>
    <row r="84" customFormat="false" ht="15" hidden="false" customHeight="false" outlineLevel="0" collapsed="false">
      <c r="A84" s="2" t="n">
        <v>83</v>
      </c>
      <c r="B84" s="2" t="s">
        <v>91</v>
      </c>
      <c r="C84" s="2" t="s">
        <v>22</v>
      </c>
      <c r="D84" s="2" t="s">
        <v>33</v>
      </c>
      <c r="E84" s="2" t="s">
        <v>29</v>
      </c>
      <c r="F84" s="2" t="s">
        <v>46</v>
      </c>
      <c r="G84" s="2" t="n">
        <v>17</v>
      </c>
      <c r="H84" s="2" t="n">
        <v>120</v>
      </c>
      <c r="I84" s="2" t="n">
        <v>15</v>
      </c>
      <c r="J84" s="2" t="n">
        <f aca="false">G84*H84*(1-I84/100)</f>
        <v>1734</v>
      </c>
      <c r="K84" s="2" t="n">
        <f aca="false">G84*72</f>
        <v>1224</v>
      </c>
      <c r="L84" s="2" t="n">
        <f aca="false">J84-K84</f>
        <v>510</v>
      </c>
    </row>
    <row r="85" customFormat="false" ht="15" hidden="false" customHeight="false" outlineLevel="0" collapsed="false">
      <c r="A85" s="3" t="n">
        <v>84</v>
      </c>
      <c r="B85" s="3" t="s">
        <v>92</v>
      </c>
      <c r="C85" s="3" t="s">
        <v>13</v>
      </c>
      <c r="D85" s="3" t="s">
        <v>23</v>
      </c>
      <c r="E85" s="3" t="s">
        <v>15</v>
      </c>
      <c r="F85" s="3" t="s">
        <v>36</v>
      </c>
      <c r="G85" s="3" t="n">
        <v>16</v>
      </c>
      <c r="H85" s="3" t="n">
        <v>400</v>
      </c>
      <c r="I85" s="3" t="n">
        <v>15</v>
      </c>
      <c r="J85" s="3" t="n">
        <f aca="false">G85*H85*(1-I85/100)</f>
        <v>5440</v>
      </c>
      <c r="K85" s="3" t="n">
        <f aca="false">G85*240</f>
        <v>3840</v>
      </c>
      <c r="L85" s="3" t="n">
        <f aca="false">J85-K85</f>
        <v>1600</v>
      </c>
    </row>
    <row r="86" customFormat="false" ht="15" hidden="false" customHeight="false" outlineLevel="0" collapsed="false">
      <c r="A86" s="2" t="n">
        <v>85</v>
      </c>
      <c r="B86" s="2" t="s">
        <v>93</v>
      </c>
      <c r="C86" s="2" t="s">
        <v>32</v>
      </c>
      <c r="D86" s="2" t="s">
        <v>23</v>
      </c>
      <c r="E86" s="2" t="s">
        <v>19</v>
      </c>
      <c r="F86" s="2" t="s">
        <v>34</v>
      </c>
      <c r="G86" s="2" t="n">
        <v>8</v>
      </c>
      <c r="H86" s="2" t="n">
        <v>10</v>
      </c>
      <c r="I86" s="2" t="n">
        <v>10</v>
      </c>
      <c r="J86" s="2" t="n">
        <f aca="false">G86*H86*(1-I86/100)</f>
        <v>72</v>
      </c>
      <c r="K86" s="2" t="n">
        <f aca="false">G86*6</f>
        <v>48</v>
      </c>
      <c r="L86" s="2" t="n">
        <f aca="false">J86-K86</f>
        <v>24</v>
      </c>
    </row>
    <row r="87" customFormat="false" ht="15" hidden="false" customHeight="false" outlineLevel="0" collapsed="false">
      <c r="A87" s="3" t="n">
        <v>86</v>
      </c>
      <c r="B87" s="3" t="s">
        <v>94</v>
      </c>
      <c r="C87" s="3" t="s">
        <v>32</v>
      </c>
      <c r="D87" s="3" t="s">
        <v>26</v>
      </c>
      <c r="E87" s="3" t="s">
        <v>15</v>
      </c>
      <c r="F87" s="3" t="s">
        <v>47</v>
      </c>
      <c r="G87" s="3" t="n">
        <v>11</v>
      </c>
      <c r="H87" s="3" t="n">
        <v>600</v>
      </c>
      <c r="I87" s="3" t="n">
        <v>10</v>
      </c>
      <c r="J87" s="3" t="n">
        <f aca="false">G87*H87*(1-I87/100)</f>
        <v>5940</v>
      </c>
      <c r="K87" s="3" t="n">
        <f aca="false">G87*360</f>
        <v>3960</v>
      </c>
      <c r="L87" s="3" t="n">
        <f aca="false">J87-K87</f>
        <v>1980</v>
      </c>
    </row>
    <row r="88" customFormat="false" ht="15" hidden="false" customHeight="false" outlineLevel="0" collapsed="false">
      <c r="A88" s="2" t="n">
        <v>87</v>
      </c>
      <c r="B88" s="2" t="s">
        <v>87</v>
      </c>
      <c r="C88" s="2" t="s">
        <v>13</v>
      </c>
      <c r="D88" s="2" t="s">
        <v>14</v>
      </c>
      <c r="E88" s="2" t="s">
        <v>15</v>
      </c>
      <c r="F88" s="2" t="s">
        <v>16</v>
      </c>
      <c r="G88" s="2" t="n">
        <v>13</v>
      </c>
      <c r="H88" s="2" t="n">
        <v>1200</v>
      </c>
      <c r="I88" s="2" t="n">
        <v>5</v>
      </c>
      <c r="J88" s="2" t="n">
        <f aca="false">G88*H88*(1-I88/100)</f>
        <v>14820</v>
      </c>
      <c r="K88" s="2" t="n">
        <f aca="false">G88*720</f>
        <v>9360</v>
      </c>
      <c r="L88" s="2" t="n">
        <f aca="false">J88-K88</f>
        <v>5460</v>
      </c>
    </row>
    <row r="89" customFormat="false" ht="15" hidden="false" customHeight="false" outlineLevel="0" collapsed="false">
      <c r="A89" s="3" t="n">
        <v>88</v>
      </c>
      <c r="B89" s="3" t="s">
        <v>93</v>
      </c>
      <c r="C89" s="3" t="s">
        <v>18</v>
      </c>
      <c r="D89" s="3" t="s">
        <v>14</v>
      </c>
      <c r="E89" s="3" t="s">
        <v>29</v>
      </c>
      <c r="F89" s="3" t="s">
        <v>40</v>
      </c>
      <c r="G89" s="3" t="n">
        <v>11</v>
      </c>
      <c r="H89" s="3" t="n">
        <v>60</v>
      </c>
      <c r="I89" s="3" t="n">
        <v>20</v>
      </c>
      <c r="J89" s="3" t="n">
        <f aca="false">G89*H89*(1-I89/100)</f>
        <v>528</v>
      </c>
      <c r="K89" s="3" t="n">
        <f aca="false">G89*36</f>
        <v>396</v>
      </c>
      <c r="L89" s="3" t="n">
        <f aca="false">J89-K89</f>
        <v>132</v>
      </c>
    </row>
    <row r="90" customFormat="false" ht="15" hidden="false" customHeight="false" outlineLevel="0" collapsed="false">
      <c r="A90" s="2" t="n">
        <v>89</v>
      </c>
      <c r="B90" s="2" t="s">
        <v>87</v>
      </c>
      <c r="C90" s="2" t="s">
        <v>32</v>
      </c>
      <c r="D90" s="2" t="s">
        <v>33</v>
      </c>
      <c r="E90" s="2" t="s">
        <v>15</v>
      </c>
      <c r="F90" s="2" t="s">
        <v>47</v>
      </c>
      <c r="G90" s="2" t="n">
        <v>13</v>
      </c>
      <c r="H90" s="2" t="n">
        <v>600</v>
      </c>
      <c r="I90" s="2" t="n">
        <v>20</v>
      </c>
      <c r="J90" s="2" t="n">
        <f aca="false">G90*H90*(1-I90/100)</f>
        <v>6240</v>
      </c>
      <c r="K90" s="2" t="n">
        <f aca="false">G90*360</f>
        <v>4680</v>
      </c>
      <c r="L90" s="2" t="n">
        <f aca="false">J90-K90</f>
        <v>1560</v>
      </c>
    </row>
    <row r="91" customFormat="false" ht="15" hidden="false" customHeight="false" outlineLevel="0" collapsed="false">
      <c r="A91" s="3" t="n">
        <v>90</v>
      </c>
      <c r="B91" s="3" t="s">
        <v>88</v>
      </c>
      <c r="C91" s="3" t="s">
        <v>18</v>
      </c>
      <c r="D91" s="3" t="s">
        <v>33</v>
      </c>
      <c r="E91" s="3" t="s">
        <v>29</v>
      </c>
      <c r="F91" s="3" t="s">
        <v>30</v>
      </c>
      <c r="G91" s="3" t="n">
        <v>12</v>
      </c>
      <c r="H91" s="3" t="n">
        <v>25</v>
      </c>
      <c r="I91" s="3" t="n">
        <v>10</v>
      </c>
      <c r="J91" s="3" t="n">
        <f aca="false">G91*H91*(1-I91/100)</f>
        <v>270</v>
      </c>
      <c r="K91" s="3" t="n">
        <f aca="false">G91*15</f>
        <v>180</v>
      </c>
      <c r="L91" s="3" t="n">
        <f aca="false">J91-K91</f>
        <v>90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2" t="s">
        <v>18</v>
      </c>
      <c r="D92" s="2" t="s">
        <v>26</v>
      </c>
      <c r="E92" s="2" t="s">
        <v>19</v>
      </c>
      <c r="F92" s="2" t="s">
        <v>20</v>
      </c>
      <c r="G92" s="2" t="n">
        <v>18</v>
      </c>
      <c r="H92" s="2" t="n">
        <v>8</v>
      </c>
      <c r="I92" s="2" t="n">
        <v>20</v>
      </c>
      <c r="J92" s="2" t="n">
        <f aca="false">G92*H92*(1-I92/100)</f>
        <v>115.2</v>
      </c>
      <c r="K92" s="2" t="n">
        <f aca="false">G92*4.8</f>
        <v>86.4</v>
      </c>
      <c r="L92" s="2" t="n">
        <f aca="false">J92-K92</f>
        <v>28.8</v>
      </c>
    </row>
    <row r="93" customFormat="false" ht="15" hidden="false" customHeight="false" outlineLevel="0" collapsed="false">
      <c r="A93" s="3" t="n">
        <v>92</v>
      </c>
      <c r="B93" s="3" t="s">
        <v>96</v>
      </c>
      <c r="C93" s="3" t="s">
        <v>28</v>
      </c>
      <c r="D93" s="3" t="s">
        <v>33</v>
      </c>
      <c r="E93" s="3" t="s">
        <v>29</v>
      </c>
      <c r="F93" s="3" t="s">
        <v>40</v>
      </c>
      <c r="G93" s="3" t="n">
        <v>16</v>
      </c>
      <c r="H93" s="3" t="n">
        <v>60</v>
      </c>
      <c r="I93" s="3" t="n">
        <v>0</v>
      </c>
      <c r="J93" s="3" t="n">
        <f aca="false">G93*H93*(1-I93/100)</f>
        <v>960</v>
      </c>
      <c r="K93" s="3" t="n">
        <f aca="false">G93*36</f>
        <v>576</v>
      </c>
      <c r="L93" s="3" t="n">
        <f aca="false">J93-K93</f>
        <v>384</v>
      </c>
    </row>
    <row r="94" customFormat="false" ht="15" hidden="false" customHeight="false" outlineLevel="0" collapsed="false">
      <c r="A94" s="2" t="n">
        <v>93</v>
      </c>
      <c r="B94" s="2" t="s">
        <v>97</v>
      </c>
      <c r="C94" s="2" t="s">
        <v>18</v>
      </c>
      <c r="D94" s="2" t="s">
        <v>14</v>
      </c>
      <c r="E94" s="2" t="s">
        <v>29</v>
      </c>
      <c r="F94" s="2" t="s">
        <v>30</v>
      </c>
      <c r="G94" s="2" t="n">
        <v>20</v>
      </c>
      <c r="H94" s="2" t="n">
        <v>25</v>
      </c>
      <c r="I94" s="2" t="n">
        <v>20</v>
      </c>
      <c r="J94" s="2" t="n">
        <f aca="false">G94*H94*(1-I94/100)</f>
        <v>400</v>
      </c>
      <c r="K94" s="2" t="n">
        <f aca="false">G94*15</f>
        <v>300</v>
      </c>
      <c r="L94" s="2" t="n">
        <f aca="false">J94-K94</f>
        <v>100</v>
      </c>
    </row>
    <row r="95" customFormat="false" ht="15" hidden="false" customHeight="false" outlineLevel="0" collapsed="false">
      <c r="A95" s="3" t="n">
        <v>94</v>
      </c>
      <c r="B95" s="3" t="s">
        <v>98</v>
      </c>
      <c r="C95" s="3" t="s">
        <v>18</v>
      </c>
      <c r="D95" s="3" t="s">
        <v>26</v>
      </c>
      <c r="E95" s="3" t="s">
        <v>15</v>
      </c>
      <c r="F95" s="3" t="s">
        <v>36</v>
      </c>
      <c r="G95" s="3" t="n">
        <v>14</v>
      </c>
      <c r="H95" s="3" t="n">
        <v>400</v>
      </c>
      <c r="I95" s="3" t="n">
        <v>5</v>
      </c>
      <c r="J95" s="3" t="n">
        <f aca="false">G95*H95*(1-I95/100)</f>
        <v>5320</v>
      </c>
      <c r="K95" s="3" t="n">
        <f aca="false">G95*240</f>
        <v>3360</v>
      </c>
      <c r="L95" s="3" t="n">
        <f aca="false">J95-K95</f>
        <v>1960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2" t="s">
        <v>18</v>
      </c>
      <c r="D96" s="2" t="s">
        <v>23</v>
      </c>
      <c r="E96" s="2" t="s">
        <v>15</v>
      </c>
      <c r="F96" s="2" t="s">
        <v>47</v>
      </c>
      <c r="G96" s="2" t="n">
        <v>13</v>
      </c>
      <c r="H96" s="2" t="n">
        <v>600</v>
      </c>
      <c r="I96" s="2" t="n">
        <v>10</v>
      </c>
      <c r="J96" s="2" t="n">
        <f aca="false">G96*H96*(1-I96/100)</f>
        <v>7020</v>
      </c>
      <c r="K96" s="2" t="n">
        <f aca="false">G96*360</f>
        <v>4680</v>
      </c>
      <c r="L96" s="2" t="n">
        <f aca="false">J96-K96</f>
        <v>2340</v>
      </c>
    </row>
    <row r="97" customFormat="false" ht="15" hidden="false" customHeight="false" outlineLevel="0" collapsed="false">
      <c r="A97" s="3" t="n">
        <v>96</v>
      </c>
      <c r="B97" s="3" t="s">
        <v>100</v>
      </c>
      <c r="C97" s="3" t="s">
        <v>32</v>
      </c>
      <c r="D97" s="3" t="s">
        <v>33</v>
      </c>
      <c r="E97" s="3" t="s">
        <v>29</v>
      </c>
      <c r="F97" s="3" t="s">
        <v>40</v>
      </c>
      <c r="G97" s="3" t="n">
        <v>9</v>
      </c>
      <c r="H97" s="3" t="n">
        <v>60</v>
      </c>
      <c r="I97" s="3" t="n">
        <v>15</v>
      </c>
      <c r="J97" s="3" t="n">
        <f aca="false">G97*H97*(1-I97/100)</f>
        <v>459</v>
      </c>
      <c r="K97" s="3" t="n">
        <f aca="false">G97*36</f>
        <v>324</v>
      </c>
      <c r="L97" s="3" t="n">
        <f aca="false">J97-K97</f>
        <v>135</v>
      </c>
    </row>
    <row r="98" customFormat="false" ht="15" hidden="false" customHeight="false" outlineLevel="0" collapsed="false">
      <c r="A98" s="2" t="n">
        <v>97</v>
      </c>
      <c r="B98" s="2" t="s">
        <v>101</v>
      </c>
      <c r="C98" s="2" t="s">
        <v>13</v>
      </c>
      <c r="D98" s="2" t="s">
        <v>14</v>
      </c>
      <c r="E98" s="2" t="s">
        <v>15</v>
      </c>
      <c r="F98" s="2" t="s">
        <v>36</v>
      </c>
      <c r="G98" s="2" t="n">
        <v>18</v>
      </c>
      <c r="H98" s="2" t="n">
        <v>400</v>
      </c>
      <c r="I98" s="2" t="n">
        <v>0</v>
      </c>
      <c r="J98" s="2" t="n">
        <f aca="false">G98*H98*(1-I98/100)</f>
        <v>7200</v>
      </c>
      <c r="K98" s="2" t="n">
        <f aca="false">G98*240</f>
        <v>4320</v>
      </c>
      <c r="L98" s="2" t="n">
        <f aca="false">J98-K98</f>
        <v>2880</v>
      </c>
    </row>
    <row r="99" customFormat="false" ht="15" hidden="false" customHeight="false" outlineLevel="0" collapsed="false">
      <c r="A99" s="3" t="n">
        <v>98</v>
      </c>
      <c r="B99" s="3" t="s">
        <v>99</v>
      </c>
      <c r="C99" s="3" t="s">
        <v>32</v>
      </c>
      <c r="D99" s="3" t="s">
        <v>26</v>
      </c>
      <c r="E99" s="3" t="s">
        <v>19</v>
      </c>
      <c r="F99" s="3" t="s">
        <v>24</v>
      </c>
      <c r="G99" s="3" t="n">
        <v>1</v>
      </c>
      <c r="H99" s="3" t="n">
        <v>15</v>
      </c>
      <c r="I99" s="3" t="n">
        <v>5</v>
      </c>
      <c r="J99" s="3" t="n">
        <f aca="false">G99*H99*(1-I99/100)</f>
        <v>14.25</v>
      </c>
      <c r="K99" s="3" t="n">
        <f aca="false">G99*9</f>
        <v>9</v>
      </c>
      <c r="L99" s="3" t="n">
        <f aca="false">J99-K99</f>
        <v>5.25</v>
      </c>
    </row>
    <row r="100" customFormat="false" ht="15" hidden="false" customHeight="false" outlineLevel="0" collapsed="false">
      <c r="A100" s="2" t="n">
        <v>99</v>
      </c>
      <c r="B100" s="2" t="s">
        <v>102</v>
      </c>
      <c r="C100" s="2" t="s">
        <v>13</v>
      </c>
      <c r="D100" s="2" t="s">
        <v>33</v>
      </c>
      <c r="E100" s="2" t="s">
        <v>15</v>
      </c>
      <c r="F100" s="2" t="s">
        <v>16</v>
      </c>
      <c r="G100" s="2" t="n">
        <v>16</v>
      </c>
      <c r="H100" s="2" t="n">
        <v>1200</v>
      </c>
      <c r="I100" s="2" t="n">
        <v>0</v>
      </c>
      <c r="J100" s="2" t="n">
        <f aca="false">G100*H100*(1-I100/100)</f>
        <v>19200</v>
      </c>
      <c r="K100" s="2" t="n">
        <f aca="false">G100*720</f>
        <v>11520</v>
      </c>
      <c r="L100" s="2" t="n">
        <f aca="false">J100-K100</f>
        <v>7680</v>
      </c>
    </row>
    <row r="101" customFormat="false" ht="15" hidden="false" customHeight="false" outlineLevel="0" collapsed="false">
      <c r="A101" s="3" t="n">
        <v>100</v>
      </c>
      <c r="B101" s="3" t="s">
        <v>103</v>
      </c>
      <c r="C101" s="3" t="s">
        <v>22</v>
      </c>
      <c r="D101" s="3" t="s">
        <v>14</v>
      </c>
      <c r="E101" s="3" t="s">
        <v>19</v>
      </c>
      <c r="F101" s="3" t="s">
        <v>34</v>
      </c>
      <c r="G101" s="3" t="n">
        <v>12</v>
      </c>
      <c r="H101" s="3" t="n">
        <v>10</v>
      </c>
      <c r="I101" s="3" t="n">
        <v>5</v>
      </c>
      <c r="J101" s="3" t="n">
        <f aca="false">G101*H101*(1-I101/100)</f>
        <v>114</v>
      </c>
      <c r="K101" s="3" t="n">
        <f aca="false">G101*6</f>
        <v>72</v>
      </c>
      <c r="L101" s="3" t="n">
        <f aca="false">J101-K101</f>
        <v>42</v>
      </c>
    </row>
    <row r="102" customFormat="false" ht="15" hidden="false" customHeight="false" outlineLevel="0" collapsed="false">
      <c r="A102" s="2" t="n">
        <v>101</v>
      </c>
      <c r="B102" s="2" t="s">
        <v>97</v>
      </c>
      <c r="C102" s="2" t="s">
        <v>28</v>
      </c>
      <c r="D102" s="2" t="s">
        <v>33</v>
      </c>
      <c r="E102" s="2" t="s">
        <v>15</v>
      </c>
      <c r="F102" s="2" t="s">
        <v>47</v>
      </c>
      <c r="G102" s="2" t="n">
        <v>4</v>
      </c>
      <c r="H102" s="2" t="n">
        <v>600</v>
      </c>
      <c r="I102" s="2" t="n">
        <v>20</v>
      </c>
      <c r="J102" s="2" t="n">
        <f aca="false">G102*H102*(1-I102/100)</f>
        <v>1920</v>
      </c>
      <c r="K102" s="2" t="n">
        <f aca="false">G102*360</f>
        <v>1440</v>
      </c>
      <c r="L102" s="2" t="n">
        <f aca="false">J102-K102</f>
        <v>480</v>
      </c>
    </row>
    <row r="103" customFormat="false" ht="15" hidden="false" customHeight="false" outlineLevel="0" collapsed="false">
      <c r="A103" s="3" t="n">
        <v>102</v>
      </c>
      <c r="B103" s="3" t="s">
        <v>102</v>
      </c>
      <c r="C103" s="3" t="s">
        <v>13</v>
      </c>
      <c r="D103" s="3" t="s">
        <v>14</v>
      </c>
      <c r="E103" s="3" t="s">
        <v>29</v>
      </c>
      <c r="F103" s="3" t="s">
        <v>46</v>
      </c>
      <c r="G103" s="3" t="n">
        <v>7</v>
      </c>
      <c r="H103" s="3" t="n">
        <v>120</v>
      </c>
      <c r="I103" s="3" t="n">
        <v>0</v>
      </c>
      <c r="J103" s="3" t="n">
        <f aca="false">G103*H103*(1-I103/100)</f>
        <v>840</v>
      </c>
      <c r="K103" s="3" t="n">
        <f aca="false">G103*72</f>
        <v>504</v>
      </c>
      <c r="L103" s="3" t="n">
        <f aca="false">J103-K103</f>
        <v>336</v>
      </c>
    </row>
    <row r="104" customFormat="false" ht="15" hidden="false" customHeight="false" outlineLevel="0" collapsed="false">
      <c r="A104" s="2" t="n">
        <v>103</v>
      </c>
      <c r="B104" s="2" t="s">
        <v>104</v>
      </c>
      <c r="C104" s="2" t="s">
        <v>22</v>
      </c>
      <c r="D104" s="2" t="s">
        <v>14</v>
      </c>
      <c r="E104" s="2" t="s">
        <v>19</v>
      </c>
      <c r="F104" s="2" t="s">
        <v>34</v>
      </c>
      <c r="G104" s="2" t="n">
        <v>20</v>
      </c>
      <c r="H104" s="2" t="n">
        <v>10</v>
      </c>
      <c r="I104" s="2" t="n">
        <v>0</v>
      </c>
      <c r="J104" s="2" t="n">
        <f aca="false">G104*H104*(1-I104/100)</f>
        <v>200</v>
      </c>
      <c r="K104" s="2" t="n">
        <f aca="false">G104*6</f>
        <v>120</v>
      </c>
      <c r="L104" s="2" t="n">
        <f aca="false">J104-K104</f>
        <v>80</v>
      </c>
    </row>
    <row r="105" customFormat="false" ht="15" hidden="false" customHeight="false" outlineLevel="0" collapsed="false">
      <c r="A105" s="3" t="n">
        <v>104</v>
      </c>
      <c r="B105" s="3" t="s">
        <v>105</v>
      </c>
      <c r="C105" s="3" t="s">
        <v>22</v>
      </c>
      <c r="D105" s="3" t="s">
        <v>23</v>
      </c>
      <c r="E105" s="3" t="s">
        <v>29</v>
      </c>
      <c r="F105" s="3" t="s">
        <v>46</v>
      </c>
      <c r="G105" s="3" t="n">
        <v>14</v>
      </c>
      <c r="H105" s="3" t="n">
        <v>120</v>
      </c>
      <c r="I105" s="3" t="n">
        <v>10</v>
      </c>
      <c r="J105" s="3" t="n">
        <f aca="false">G105*H105*(1-I105/100)</f>
        <v>1512</v>
      </c>
      <c r="K105" s="3" t="n">
        <f aca="false">G105*72</f>
        <v>1008</v>
      </c>
      <c r="L105" s="3" t="n">
        <f aca="false">J105-K105</f>
        <v>504</v>
      </c>
    </row>
    <row r="106" customFormat="false" ht="15" hidden="false" customHeight="false" outlineLevel="0" collapsed="false">
      <c r="A106" s="2" t="n">
        <v>105</v>
      </c>
      <c r="B106" s="2" t="s">
        <v>106</v>
      </c>
      <c r="C106" s="2" t="s">
        <v>28</v>
      </c>
      <c r="D106" s="2" t="s">
        <v>33</v>
      </c>
      <c r="E106" s="2" t="s">
        <v>15</v>
      </c>
      <c r="F106" s="2" t="s">
        <v>47</v>
      </c>
      <c r="G106" s="2" t="n">
        <v>16</v>
      </c>
      <c r="H106" s="2" t="n">
        <v>600</v>
      </c>
      <c r="I106" s="2" t="n">
        <v>0</v>
      </c>
      <c r="J106" s="2" t="n">
        <f aca="false">G106*H106*(1-I106/100)</f>
        <v>9600</v>
      </c>
      <c r="K106" s="2" t="n">
        <f aca="false">G106*360</f>
        <v>5760</v>
      </c>
      <c r="L106" s="2" t="n">
        <f aca="false">J106-K106</f>
        <v>3840</v>
      </c>
    </row>
    <row r="107" customFormat="false" ht="15" hidden="false" customHeight="false" outlineLevel="0" collapsed="false">
      <c r="A107" s="3" t="n">
        <v>106</v>
      </c>
      <c r="B107" s="3" t="s">
        <v>107</v>
      </c>
      <c r="C107" s="3" t="s">
        <v>22</v>
      </c>
      <c r="D107" s="3" t="s">
        <v>23</v>
      </c>
      <c r="E107" s="3" t="s">
        <v>19</v>
      </c>
      <c r="F107" s="3" t="s">
        <v>24</v>
      </c>
      <c r="G107" s="3" t="n">
        <v>14</v>
      </c>
      <c r="H107" s="3" t="n">
        <v>15</v>
      </c>
      <c r="I107" s="3" t="n">
        <v>5</v>
      </c>
      <c r="J107" s="3" t="n">
        <f aca="false">G107*H107*(1-I107/100)</f>
        <v>199.5</v>
      </c>
      <c r="K107" s="3" t="n">
        <f aca="false">G107*9</f>
        <v>126</v>
      </c>
      <c r="L107" s="3" t="n">
        <f aca="false">J107-K107</f>
        <v>73.5</v>
      </c>
    </row>
    <row r="108" customFormat="false" ht="15" hidden="false" customHeight="false" outlineLevel="0" collapsed="false">
      <c r="A108" s="2" t="n">
        <v>107</v>
      </c>
      <c r="B108" s="2" t="s">
        <v>106</v>
      </c>
      <c r="C108" s="2" t="s">
        <v>22</v>
      </c>
      <c r="D108" s="2" t="s">
        <v>23</v>
      </c>
      <c r="E108" s="2" t="s">
        <v>19</v>
      </c>
      <c r="F108" s="2" t="s">
        <v>20</v>
      </c>
      <c r="G108" s="2" t="n">
        <v>16</v>
      </c>
      <c r="H108" s="2" t="n">
        <v>8</v>
      </c>
      <c r="I108" s="2" t="n">
        <v>15</v>
      </c>
      <c r="J108" s="2" t="n">
        <f aca="false">G108*H108*(1-I108/100)</f>
        <v>108.8</v>
      </c>
      <c r="K108" s="2" t="n">
        <f aca="false">G108*4.8</f>
        <v>76.8</v>
      </c>
      <c r="L108" s="2" t="n">
        <f aca="false">J108-K108</f>
        <v>32</v>
      </c>
    </row>
    <row r="109" customFormat="false" ht="15" hidden="false" customHeight="false" outlineLevel="0" collapsed="false">
      <c r="A109" s="3" t="n">
        <v>108</v>
      </c>
      <c r="B109" s="3" t="s">
        <v>108</v>
      </c>
      <c r="C109" s="3" t="s">
        <v>13</v>
      </c>
      <c r="D109" s="3" t="s">
        <v>33</v>
      </c>
      <c r="E109" s="3" t="s">
        <v>29</v>
      </c>
      <c r="F109" s="3" t="s">
        <v>30</v>
      </c>
      <c r="G109" s="3" t="n">
        <v>3</v>
      </c>
      <c r="H109" s="3" t="n">
        <v>25</v>
      </c>
      <c r="I109" s="3" t="n">
        <v>10</v>
      </c>
      <c r="J109" s="3" t="n">
        <f aca="false">G109*H109*(1-I109/100)</f>
        <v>67.5</v>
      </c>
      <c r="K109" s="3" t="n">
        <f aca="false">G109*15</f>
        <v>45</v>
      </c>
      <c r="L109" s="3" t="n">
        <f aca="false">J109-K109</f>
        <v>22.5</v>
      </c>
    </row>
    <row r="110" customFormat="false" ht="15" hidden="false" customHeight="false" outlineLevel="0" collapsed="false">
      <c r="A110" s="2" t="n">
        <v>109</v>
      </c>
      <c r="B110" s="2" t="s">
        <v>97</v>
      </c>
      <c r="C110" s="2" t="s">
        <v>18</v>
      </c>
      <c r="D110" s="2" t="s">
        <v>23</v>
      </c>
      <c r="E110" s="2" t="s">
        <v>19</v>
      </c>
      <c r="F110" s="2" t="s">
        <v>20</v>
      </c>
      <c r="G110" s="2" t="n">
        <v>13</v>
      </c>
      <c r="H110" s="2" t="n">
        <v>8</v>
      </c>
      <c r="I110" s="2" t="n">
        <v>10</v>
      </c>
      <c r="J110" s="2" t="n">
        <f aca="false">G110*H110*(1-I110/100)</f>
        <v>93.6</v>
      </c>
      <c r="K110" s="2" t="n">
        <f aca="false">G110*4.8</f>
        <v>62.4</v>
      </c>
      <c r="L110" s="2" t="n">
        <f aca="false">J110-K110</f>
        <v>31.2</v>
      </c>
    </row>
    <row r="111" customFormat="false" ht="15" hidden="false" customHeight="false" outlineLevel="0" collapsed="false">
      <c r="A111" s="3" t="n">
        <v>110</v>
      </c>
      <c r="B111" s="3" t="s">
        <v>109</v>
      </c>
      <c r="C111" s="3" t="s">
        <v>28</v>
      </c>
      <c r="D111" s="3" t="s">
        <v>23</v>
      </c>
      <c r="E111" s="3" t="s">
        <v>29</v>
      </c>
      <c r="F111" s="3" t="s">
        <v>30</v>
      </c>
      <c r="G111" s="3" t="n">
        <v>12</v>
      </c>
      <c r="H111" s="3" t="n">
        <v>25</v>
      </c>
      <c r="I111" s="3" t="n">
        <v>10</v>
      </c>
      <c r="J111" s="3" t="n">
        <f aca="false">G111*H111*(1-I111/100)</f>
        <v>270</v>
      </c>
      <c r="K111" s="3" t="n">
        <f aca="false">G111*15</f>
        <v>180</v>
      </c>
      <c r="L111" s="3" t="n">
        <f aca="false">J111-K111</f>
        <v>90</v>
      </c>
    </row>
    <row r="112" customFormat="false" ht="15" hidden="false" customHeight="false" outlineLevel="0" collapsed="false">
      <c r="A112" s="2" t="n">
        <v>111</v>
      </c>
      <c r="B112" s="2" t="s">
        <v>110</v>
      </c>
      <c r="C112" s="2" t="s">
        <v>13</v>
      </c>
      <c r="D112" s="2" t="s">
        <v>33</v>
      </c>
      <c r="E112" s="2" t="s">
        <v>19</v>
      </c>
      <c r="F112" s="2" t="s">
        <v>24</v>
      </c>
      <c r="G112" s="2" t="n">
        <v>17</v>
      </c>
      <c r="H112" s="2" t="n">
        <v>15</v>
      </c>
      <c r="I112" s="2" t="n">
        <v>5</v>
      </c>
      <c r="J112" s="2" t="n">
        <f aca="false">G112*H112*(1-I112/100)</f>
        <v>242.25</v>
      </c>
      <c r="K112" s="2" t="n">
        <f aca="false">G112*9</f>
        <v>153</v>
      </c>
      <c r="L112" s="2" t="n">
        <f aca="false">J112-K112</f>
        <v>89.25</v>
      </c>
    </row>
    <row r="113" customFormat="false" ht="15" hidden="false" customHeight="false" outlineLevel="0" collapsed="false">
      <c r="A113" s="3" t="n">
        <v>112</v>
      </c>
      <c r="B113" s="3" t="s">
        <v>111</v>
      </c>
      <c r="C113" s="3" t="s">
        <v>18</v>
      </c>
      <c r="D113" s="3" t="s">
        <v>33</v>
      </c>
      <c r="E113" s="3" t="s">
        <v>29</v>
      </c>
      <c r="F113" s="3" t="s">
        <v>46</v>
      </c>
      <c r="G113" s="3" t="n">
        <v>8</v>
      </c>
      <c r="H113" s="3" t="n">
        <v>120</v>
      </c>
      <c r="I113" s="3" t="n">
        <v>15</v>
      </c>
      <c r="J113" s="3" t="n">
        <f aca="false">G113*H113*(1-I113/100)</f>
        <v>816</v>
      </c>
      <c r="K113" s="3" t="n">
        <f aca="false">G113*72</f>
        <v>576</v>
      </c>
      <c r="L113" s="3" t="n">
        <f aca="false">J113-K113</f>
        <v>240</v>
      </c>
    </row>
    <row r="114" customFormat="false" ht="15" hidden="false" customHeight="false" outlineLevel="0" collapsed="false">
      <c r="A114" s="2" t="n">
        <v>113</v>
      </c>
      <c r="B114" s="2" t="s">
        <v>112</v>
      </c>
      <c r="C114" s="2" t="s">
        <v>13</v>
      </c>
      <c r="D114" s="2" t="s">
        <v>23</v>
      </c>
      <c r="E114" s="2" t="s">
        <v>15</v>
      </c>
      <c r="F114" s="2" t="s">
        <v>16</v>
      </c>
      <c r="G114" s="2" t="n">
        <v>10</v>
      </c>
      <c r="H114" s="2" t="n">
        <v>1200</v>
      </c>
      <c r="I114" s="2" t="n">
        <v>5</v>
      </c>
      <c r="J114" s="2" t="n">
        <f aca="false">G114*H114*(1-I114/100)</f>
        <v>11400</v>
      </c>
      <c r="K114" s="2" t="n">
        <f aca="false">G114*720</f>
        <v>7200</v>
      </c>
      <c r="L114" s="2" t="n">
        <f aca="false">J114-K114</f>
        <v>4200</v>
      </c>
    </row>
    <row r="115" customFormat="false" ht="15" hidden="false" customHeight="false" outlineLevel="0" collapsed="false">
      <c r="A115" s="3" t="n">
        <v>114</v>
      </c>
      <c r="B115" s="3" t="s">
        <v>113</v>
      </c>
      <c r="C115" s="3" t="s">
        <v>22</v>
      </c>
      <c r="D115" s="3" t="s">
        <v>23</v>
      </c>
      <c r="E115" s="3" t="s">
        <v>19</v>
      </c>
      <c r="F115" s="3" t="s">
        <v>20</v>
      </c>
      <c r="G115" s="3" t="n">
        <v>12</v>
      </c>
      <c r="H115" s="3" t="n">
        <v>8</v>
      </c>
      <c r="I115" s="3" t="n">
        <v>15</v>
      </c>
      <c r="J115" s="3" t="n">
        <f aca="false">G115*H115*(1-I115/100)</f>
        <v>81.6</v>
      </c>
      <c r="K115" s="3" t="n">
        <f aca="false">G115*4.8</f>
        <v>57.6</v>
      </c>
      <c r="L115" s="3" t="n">
        <f aca="false">J115-K115</f>
        <v>24</v>
      </c>
    </row>
    <row r="116" customFormat="false" ht="15" hidden="false" customHeight="false" outlineLevel="0" collapsed="false">
      <c r="A116" s="2" t="n">
        <v>115</v>
      </c>
      <c r="B116" s="2" t="s">
        <v>114</v>
      </c>
      <c r="C116" s="2" t="s">
        <v>18</v>
      </c>
      <c r="D116" s="2" t="s">
        <v>23</v>
      </c>
      <c r="E116" s="2" t="s">
        <v>29</v>
      </c>
      <c r="F116" s="2" t="s">
        <v>46</v>
      </c>
      <c r="G116" s="2" t="n">
        <v>18</v>
      </c>
      <c r="H116" s="2" t="n">
        <v>120</v>
      </c>
      <c r="I116" s="2" t="n">
        <v>10</v>
      </c>
      <c r="J116" s="2" t="n">
        <f aca="false">G116*H116*(1-I116/100)</f>
        <v>1944</v>
      </c>
      <c r="K116" s="2" t="n">
        <f aca="false">G116*72</f>
        <v>1296</v>
      </c>
      <c r="L116" s="2" t="n">
        <f aca="false">J116-K116</f>
        <v>648</v>
      </c>
    </row>
    <row r="117" customFormat="false" ht="15" hidden="false" customHeight="false" outlineLevel="0" collapsed="false">
      <c r="A117" s="3" t="n">
        <v>116</v>
      </c>
      <c r="B117" s="3" t="s">
        <v>115</v>
      </c>
      <c r="C117" s="3" t="s">
        <v>13</v>
      </c>
      <c r="D117" s="3" t="s">
        <v>23</v>
      </c>
      <c r="E117" s="3" t="s">
        <v>29</v>
      </c>
      <c r="F117" s="3" t="s">
        <v>40</v>
      </c>
      <c r="G117" s="3" t="n">
        <v>8</v>
      </c>
      <c r="H117" s="3" t="n">
        <v>60</v>
      </c>
      <c r="I117" s="3" t="n">
        <v>0</v>
      </c>
      <c r="J117" s="3" t="n">
        <f aca="false">G117*H117*(1-I117/100)</f>
        <v>480</v>
      </c>
      <c r="K117" s="3" t="n">
        <f aca="false">G117*36</f>
        <v>288</v>
      </c>
      <c r="L117" s="3" t="n">
        <f aca="false">J117-K117</f>
        <v>192</v>
      </c>
    </row>
    <row r="118" customFormat="false" ht="15" hidden="false" customHeight="false" outlineLevel="0" collapsed="false">
      <c r="A118" s="2" t="n">
        <v>117</v>
      </c>
      <c r="B118" s="2" t="s">
        <v>116</v>
      </c>
      <c r="C118" s="2" t="s">
        <v>13</v>
      </c>
      <c r="D118" s="2" t="s">
        <v>33</v>
      </c>
      <c r="E118" s="2" t="s">
        <v>15</v>
      </c>
      <c r="F118" s="2" t="s">
        <v>36</v>
      </c>
      <c r="G118" s="2" t="n">
        <v>18</v>
      </c>
      <c r="H118" s="2" t="n">
        <v>400</v>
      </c>
      <c r="I118" s="2" t="n">
        <v>5</v>
      </c>
      <c r="J118" s="2" t="n">
        <f aca="false">G118*H118*(1-I118/100)</f>
        <v>6840</v>
      </c>
      <c r="K118" s="2" t="n">
        <f aca="false">G118*240</f>
        <v>4320</v>
      </c>
      <c r="L118" s="2" t="n">
        <f aca="false">J118-K118</f>
        <v>2520</v>
      </c>
    </row>
    <row r="119" customFormat="false" ht="15" hidden="false" customHeight="false" outlineLevel="0" collapsed="false">
      <c r="A119" s="3" t="n">
        <v>118</v>
      </c>
      <c r="B119" s="3" t="s">
        <v>117</v>
      </c>
      <c r="C119" s="3" t="s">
        <v>28</v>
      </c>
      <c r="D119" s="3" t="s">
        <v>14</v>
      </c>
      <c r="E119" s="3" t="s">
        <v>29</v>
      </c>
      <c r="F119" s="3" t="s">
        <v>46</v>
      </c>
      <c r="G119" s="3" t="n">
        <v>19</v>
      </c>
      <c r="H119" s="3" t="n">
        <v>120</v>
      </c>
      <c r="I119" s="3" t="n">
        <v>20</v>
      </c>
      <c r="J119" s="3" t="n">
        <f aca="false">G119*H119*(1-I119/100)</f>
        <v>1824</v>
      </c>
      <c r="K119" s="3" t="n">
        <f aca="false">G119*72</f>
        <v>1368</v>
      </c>
      <c r="L119" s="3" t="n">
        <f aca="false">J119-K119</f>
        <v>456</v>
      </c>
    </row>
    <row r="120" customFormat="false" ht="15" hidden="false" customHeight="false" outlineLevel="0" collapsed="false">
      <c r="A120" s="2" t="n">
        <v>119</v>
      </c>
      <c r="B120" s="2" t="s">
        <v>118</v>
      </c>
      <c r="C120" s="2" t="s">
        <v>28</v>
      </c>
      <c r="D120" s="2" t="s">
        <v>14</v>
      </c>
      <c r="E120" s="2" t="s">
        <v>15</v>
      </c>
      <c r="F120" s="2" t="s">
        <v>47</v>
      </c>
      <c r="G120" s="2" t="n">
        <v>8</v>
      </c>
      <c r="H120" s="2" t="n">
        <v>600</v>
      </c>
      <c r="I120" s="2" t="n">
        <v>10</v>
      </c>
      <c r="J120" s="2" t="n">
        <f aca="false">G120*H120*(1-I120/100)</f>
        <v>4320</v>
      </c>
      <c r="K120" s="2" t="n">
        <f aca="false">G120*360</f>
        <v>2880</v>
      </c>
      <c r="L120" s="2" t="n">
        <f aca="false">J120-K120</f>
        <v>1440</v>
      </c>
    </row>
    <row r="121" customFormat="false" ht="15" hidden="false" customHeight="false" outlineLevel="0" collapsed="false">
      <c r="A121" s="3" t="n">
        <v>120</v>
      </c>
      <c r="B121" s="3" t="s">
        <v>119</v>
      </c>
      <c r="C121" s="3" t="s">
        <v>32</v>
      </c>
      <c r="D121" s="3" t="s">
        <v>23</v>
      </c>
      <c r="E121" s="3" t="s">
        <v>19</v>
      </c>
      <c r="F121" s="3" t="s">
        <v>20</v>
      </c>
      <c r="G121" s="3" t="n">
        <v>5</v>
      </c>
      <c r="H121" s="3" t="n">
        <v>8</v>
      </c>
      <c r="I121" s="3" t="n">
        <v>10</v>
      </c>
      <c r="J121" s="3" t="n">
        <f aca="false">G121*H121*(1-I121/100)</f>
        <v>36</v>
      </c>
      <c r="K121" s="3" t="n">
        <f aca="false">G121*4.8</f>
        <v>24</v>
      </c>
      <c r="L121" s="3" t="n">
        <f aca="false">J121-K121</f>
        <v>12</v>
      </c>
    </row>
    <row r="122" customFormat="false" ht="15" hidden="false" customHeight="false" outlineLevel="0" collapsed="false">
      <c r="A122" s="2" t="n">
        <v>121</v>
      </c>
      <c r="B122" s="2" t="s">
        <v>120</v>
      </c>
      <c r="C122" s="2" t="s">
        <v>32</v>
      </c>
      <c r="D122" s="2" t="s">
        <v>23</v>
      </c>
      <c r="E122" s="2" t="s">
        <v>19</v>
      </c>
      <c r="F122" s="2" t="s">
        <v>24</v>
      </c>
      <c r="G122" s="2" t="n">
        <v>16</v>
      </c>
      <c r="H122" s="2" t="n">
        <v>15</v>
      </c>
      <c r="I122" s="2" t="n">
        <v>0</v>
      </c>
      <c r="J122" s="2" t="n">
        <f aca="false">G122*H122*(1-I122/100)</f>
        <v>240</v>
      </c>
      <c r="K122" s="2" t="n">
        <f aca="false">G122*9</f>
        <v>144</v>
      </c>
      <c r="L122" s="2" t="n">
        <f aca="false">J122-K122</f>
        <v>96</v>
      </c>
    </row>
    <row r="123" customFormat="false" ht="15" hidden="false" customHeight="false" outlineLevel="0" collapsed="false">
      <c r="A123" s="3" t="n">
        <v>122</v>
      </c>
      <c r="B123" s="3" t="s">
        <v>118</v>
      </c>
      <c r="C123" s="3" t="s">
        <v>32</v>
      </c>
      <c r="D123" s="3" t="s">
        <v>23</v>
      </c>
      <c r="E123" s="3" t="s">
        <v>29</v>
      </c>
      <c r="F123" s="3" t="s">
        <v>40</v>
      </c>
      <c r="G123" s="3" t="n">
        <v>15</v>
      </c>
      <c r="H123" s="3" t="n">
        <v>60</v>
      </c>
      <c r="I123" s="3" t="n">
        <v>10</v>
      </c>
      <c r="J123" s="3" t="n">
        <f aca="false">G123*H123*(1-I123/100)</f>
        <v>810</v>
      </c>
      <c r="K123" s="3" t="n">
        <f aca="false">G123*36</f>
        <v>540</v>
      </c>
      <c r="L123" s="3" t="n">
        <f aca="false">J123-K123</f>
        <v>270</v>
      </c>
    </row>
    <row r="124" customFormat="false" ht="15" hidden="false" customHeight="false" outlineLevel="0" collapsed="false">
      <c r="A124" s="2" t="n">
        <v>123</v>
      </c>
      <c r="B124" s="2" t="s">
        <v>121</v>
      </c>
      <c r="C124" s="2" t="s">
        <v>32</v>
      </c>
      <c r="D124" s="2" t="s">
        <v>14</v>
      </c>
      <c r="E124" s="2" t="s">
        <v>29</v>
      </c>
      <c r="F124" s="2" t="s">
        <v>30</v>
      </c>
      <c r="G124" s="2" t="n">
        <v>3</v>
      </c>
      <c r="H124" s="2" t="n">
        <v>25</v>
      </c>
      <c r="I124" s="2" t="n">
        <v>15</v>
      </c>
      <c r="J124" s="2" t="n">
        <f aca="false">G124*H124*(1-I124/100)</f>
        <v>63.75</v>
      </c>
      <c r="K124" s="2" t="n">
        <f aca="false">G124*15</f>
        <v>45</v>
      </c>
      <c r="L124" s="2" t="n">
        <f aca="false">J124-K124</f>
        <v>18.75</v>
      </c>
    </row>
    <row r="125" customFormat="false" ht="15" hidden="false" customHeight="false" outlineLevel="0" collapsed="false">
      <c r="A125" s="3" t="n">
        <v>124</v>
      </c>
      <c r="B125" s="3" t="s">
        <v>110</v>
      </c>
      <c r="C125" s="3" t="s">
        <v>13</v>
      </c>
      <c r="D125" s="3" t="s">
        <v>14</v>
      </c>
      <c r="E125" s="3" t="s">
        <v>15</v>
      </c>
      <c r="F125" s="3" t="s">
        <v>16</v>
      </c>
      <c r="G125" s="3" t="n">
        <v>19</v>
      </c>
      <c r="H125" s="3" t="n">
        <v>1200</v>
      </c>
      <c r="I125" s="3" t="n">
        <v>10</v>
      </c>
      <c r="J125" s="3" t="n">
        <f aca="false">G125*H125*(1-I125/100)</f>
        <v>20520</v>
      </c>
      <c r="K125" s="3" t="n">
        <f aca="false">G125*720</f>
        <v>13680</v>
      </c>
      <c r="L125" s="3" t="n">
        <f aca="false">J125-K125</f>
        <v>6840</v>
      </c>
    </row>
    <row r="126" customFormat="false" ht="15" hidden="false" customHeight="false" outlineLevel="0" collapsed="false">
      <c r="A126" s="2" t="n">
        <v>125</v>
      </c>
      <c r="B126" s="2" t="s">
        <v>122</v>
      </c>
      <c r="C126" s="2" t="s">
        <v>22</v>
      </c>
      <c r="D126" s="2" t="s">
        <v>26</v>
      </c>
      <c r="E126" s="2" t="s">
        <v>19</v>
      </c>
      <c r="F126" s="2" t="s">
        <v>34</v>
      </c>
      <c r="G126" s="2" t="n">
        <v>20</v>
      </c>
      <c r="H126" s="2" t="n">
        <v>10</v>
      </c>
      <c r="I126" s="2" t="n">
        <v>20</v>
      </c>
      <c r="J126" s="2" t="n">
        <f aca="false">G126*H126*(1-I126/100)</f>
        <v>160</v>
      </c>
      <c r="K126" s="2" t="n">
        <f aca="false">G126*6</f>
        <v>120</v>
      </c>
      <c r="L126" s="2" t="n">
        <f aca="false">J126-K126</f>
        <v>40</v>
      </c>
    </row>
    <row r="127" customFormat="false" ht="15" hidden="false" customHeight="false" outlineLevel="0" collapsed="false">
      <c r="A127" s="3" t="n">
        <v>126</v>
      </c>
      <c r="B127" s="3" t="s">
        <v>123</v>
      </c>
      <c r="C127" s="3" t="s">
        <v>22</v>
      </c>
      <c r="D127" s="3" t="s">
        <v>33</v>
      </c>
      <c r="E127" s="3" t="s">
        <v>19</v>
      </c>
      <c r="F127" s="3" t="s">
        <v>34</v>
      </c>
      <c r="G127" s="3" t="n">
        <v>15</v>
      </c>
      <c r="H127" s="3" t="n">
        <v>10</v>
      </c>
      <c r="I127" s="3" t="n">
        <v>15</v>
      </c>
      <c r="J127" s="3" t="n">
        <f aca="false">G127*H127*(1-I127/100)</f>
        <v>127.5</v>
      </c>
      <c r="K127" s="3" t="n">
        <f aca="false">G127*6</f>
        <v>90</v>
      </c>
      <c r="L127" s="3" t="n">
        <f aca="false">J127-K127</f>
        <v>37.5</v>
      </c>
    </row>
    <row r="128" customFormat="false" ht="15" hidden="false" customHeight="false" outlineLevel="0" collapsed="false">
      <c r="A128" s="2" t="n">
        <v>127</v>
      </c>
      <c r="B128" s="2" t="s">
        <v>124</v>
      </c>
      <c r="C128" s="2" t="s">
        <v>32</v>
      </c>
      <c r="D128" s="2" t="s">
        <v>26</v>
      </c>
      <c r="E128" s="2" t="s">
        <v>19</v>
      </c>
      <c r="F128" s="2" t="s">
        <v>20</v>
      </c>
      <c r="G128" s="2" t="n">
        <v>2</v>
      </c>
      <c r="H128" s="2" t="n">
        <v>8</v>
      </c>
      <c r="I128" s="2" t="n">
        <v>20</v>
      </c>
      <c r="J128" s="2" t="n">
        <f aca="false">G128*H128*(1-I128/100)</f>
        <v>12.8</v>
      </c>
      <c r="K128" s="2" t="n">
        <f aca="false">G128*4.8</f>
        <v>9.6</v>
      </c>
      <c r="L128" s="2" t="n">
        <f aca="false">J128-K128</f>
        <v>3.2</v>
      </c>
    </row>
    <row r="129" customFormat="false" ht="15" hidden="false" customHeight="false" outlineLevel="0" collapsed="false">
      <c r="A129" s="3" t="n">
        <v>128</v>
      </c>
      <c r="B129" s="3" t="s">
        <v>125</v>
      </c>
      <c r="C129" s="3" t="s">
        <v>13</v>
      </c>
      <c r="D129" s="3" t="s">
        <v>26</v>
      </c>
      <c r="E129" s="3" t="s">
        <v>19</v>
      </c>
      <c r="F129" s="3" t="s">
        <v>24</v>
      </c>
      <c r="G129" s="3" t="n">
        <v>9</v>
      </c>
      <c r="H129" s="3" t="n">
        <v>15</v>
      </c>
      <c r="I129" s="3" t="n">
        <v>0</v>
      </c>
      <c r="J129" s="3" t="n">
        <f aca="false">G129*H129*(1-I129/100)</f>
        <v>135</v>
      </c>
      <c r="K129" s="3" t="n">
        <f aca="false">G129*9</f>
        <v>81</v>
      </c>
      <c r="L129" s="3" t="n">
        <f aca="false">J129-K129</f>
        <v>54</v>
      </c>
    </row>
    <row r="130" customFormat="false" ht="15" hidden="false" customHeight="false" outlineLevel="0" collapsed="false">
      <c r="A130" s="2" t="n">
        <v>129</v>
      </c>
      <c r="B130" s="2" t="s">
        <v>126</v>
      </c>
      <c r="C130" s="2" t="s">
        <v>18</v>
      </c>
      <c r="D130" s="2" t="s">
        <v>33</v>
      </c>
      <c r="E130" s="2" t="s">
        <v>19</v>
      </c>
      <c r="F130" s="2" t="s">
        <v>24</v>
      </c>
      <c r="G130" s="2" t="n">
        <v>6</v>
      </c>
      <c r="H130" s="2" t="n">
        <v>15</v>
      </c>
      <c r="I130" s="2" t="n">
        <v>0</v>
      </c>
      <c r="J130" s="2" t="n">
        <f aca="false">G130*H130*(1-I130/100)</f>
        <v>90</v>
      </c>
      <c r="K130" s="2" t="n">
        <f aca="false">G130*9</f>
        <v>54</v>
      </c>
      <c r="L130" s="2" t="n">
        <f aca="false">J130-K130</f>
        <v>36</v>
      </c>
    </row>
    <row r="131" customFormat="false" ht="15" hidden="false" customHeight="false" outlineLevel="0" collapsed="false">
      <c r="A131" s="3" t="n">
        <v>130</v>
      </c>
      <c r="B131" s="3" t="s">
        <v>127</v>
      </c>
      <c r="C131" s="3" t="s">
        <v>28</v>
      </c>
      <c r="D131" s="3" t="s">
        <v>33</v>
      </c>
      <c r="E131" s="3" t="s">
        <v>29</v>
      </c>
      <c r="F131" s="3" t="s">
        <v>30</v>
      </c>
      <c r="G131" s="3" t="n">
        <v>8</v>
      </c>
      <c r="H131" s="3" t="n">
        <v>25</v>
      </c>
      <c r="I131" s="3" t="n">
        <v>10</v>
      </c>
      <c r="J131" s="3" t="n">
        <f aca="false">G131*H131*(1-I131/100)</f>
        <v>180</v>
      </c>
      <c r="K131" s="3" t="n">
        <f aca="false">G131*15</f>
        <v>120</v>
      </c>
      <c r="L131" s="3" t="n">
        <f aca="false">J131-K131</f>
        <v>60</v>
      </c>
    </row>
    <row r="132" customFormat="false" ht="15" hidden="false" customHeight="false" outlineLevel="0" collapsed="false">
      <c r="A132" s="2" t="n">
        <v>131</v>
      </c>
      <c r="B132" s="2" t="s">
        <v>128</v>
      </c>
      <c r="C132" s="2" t="s">
        <v>22</v>
      </c>
      <c r="D132" s="2" t="s">
        <v>26</v>
      </c>
      <c r="E132" s="2" t="s">
        <v>15</v>
      </c>
      <c r="F132" s="2" t="s">
        <v>36</v>
      </c>
      <c r="G132" s="2" t="n">
        <v>8</v>
      </c>
      <c r="H132" s="2" t="n">
        <v>400</v>
      </c>
      <c r="I132" s="2" t="n">
        <v>10</v>
      </c>
      <c r="J132" s="2" t="n">
        <f aca="false">G132*H132*(1-I132/100)</f>
        <v>2880</v>
      </c>
      <c r="K132" s="2" t="n">
        <f aca="false">G132*240</f>
        <v>1920</v>
      </c>
      <c r="L132" s="2" t="n">
        <f aca="false">J132-K132</f>
        <v>960</v>
      </c>
    </row>
    <row r="133" customFormat="false" ht="15" hidden="false" customHeight="false" outlineLevel="0" collapsed="false">
      <c r="A133" s="3" t="n">
        <v>132</v>
      </c>
      <c r="B133" s="3" t="s">
        <v>129</v>
      </c>
      <c r="C133" s="3" t="s">
        <v>13</v>
      </c>
      <c r="D133" s="3" t="s">
        <v>23</v>
      </c>
      <c r="E133" s="3" t="s">
        <v>29</v>
      </c>
      <c r="F133" s="3" t="s">
        <v>30</v>
      </c>
      <c r="G133" s="3" t="n">
        <v>18</v>
      </c>
      <c r="H133" s="3" t="n">
        <v>25</v>
      </c>
      <c r="I133" s="3" t="n">
        <v>5</v>
      </c>
      <c r="J133" s="3" t="n">
        <f aca="false">G133*H133*(1-I133/100)</f>
        <v>427.5</v>
      </c>
      <c r="K133" s="3" t="n">
        <f aca="false">G133*15</f>
        <v>270</v>
      </c>
      <c r="L133" s="3" t="n">
        <f aca="false">J133-K133</f>
        <v>157.5</v>
      </c>
    </row>
    <row r="134" customFormat="false" ht="15" hidden="false" customHeight="false" outlineLevel="0" collapsed="false">
      <c r="A134" s="2" t="n">
        <v>133</v>
      </c>
      <c r="B134" s="2" t="s">
        <v>128</v>
      </c>
      <c r="C134" s="2" t="s">
        <v>28</v>
      </c>
      <c r="D134" s="2" t="s">
        <v>23</v>
      </c>
      <c r="E134" s="2" t="s">
        <v>15</v>
      </c>
      <c r="F134" s="2" t="s">
        <v>16</v>
      </c>
      <c r="G134" s="2" t="n">
        <v>2</v>
      </c>
      <c r="H134" s="2" t="n">
        <v>1200</v>
      </c>
      <c r="I134" s="2" t="n">
        <v>5</v>
      </c>
      <c r="J134" s="2" t="n">
        <f aca="false">G134*H134*(1-I134/100)</f>
        <v>2280</v>
      </c>
      <c r="K134" s="2" t="n">
        <f aca="false">G134*720</f>
        <v>1440</v>
      </c>
      <c r="L134" s="2" t="n">
        <f aca="false">J134-K134</f>
        <v>840</v>
      </c>
    </row>
    <row r="135" customFormat="false" ht="15" hidden="false" customHeight="false" outlineLevel="0" collapsed="false">
      <c r="A135" s="3" t="n">
        <v>134</v>
      </c>
      <c r="B135" s="3" t="s">
        <v>127</v>
      </c>
      <c r="C135" s="3" t="s">
        <v>18</v>
      </c>
      <c r="D135" s="3" t="s">
        <v>23</v>
      </c>
      <c r="E135" s="3" t="s">
        <v>29</v>
      </c>
      <c r="F135" s="3" t="s">
        <v>30</v>
      </c>
      <c r="G135" s="3" t="n">
        <v>15</v>
      </c>
      <c r="H135" s="3" t="n">
        <v>25</v>
      </c>
      <c r="I135" s="3" t="n">
        <v>10</v>
      </c>
      <c r="J135" s="3" t="n">
        <f aca="false">G135*H135*(1-I135/100)</f>
        <v>337.5</v>
      </c>
      <c r="K135" s="3" t="n">
        <f aca="false">G135*15</f>
        <v>225</v>
      </c>
      <c r="L135" s="3" t="n">
        <f aca="false">J135-K135</f>
        <v>112.5</v>
      </c>
    </row>
    <row r="136" customFormat="false" ht="15" hidden="false" customHeight="false" outlineLevel="0" collapsed="false">
      <c r="A136" s="2" t="n">
        <v>135</v>
      </c>
      <c r="B136" s="2" t="s">
        <v>130</v>
      </c>
      <c r="C136" s="2" t="s">
        <v>22</v>
      </c>
      <c r="D136" s="2" t="s">
        <v>14</v>
      </c>
      <c r="E136" s="2" t="s">
        <v>19</v>
      </c>
      <c r="F136" s="2" t="s">
        <v>20</v>
      </c>
      <c r="G136" s="2" t="n">
        <v>16</v>
      </c>
      <c r="H136" s="2" t="n">
        <v>8</v>
      </c>
      <c r="I136" s="2" t="n">
        <v>15</v>
      </c>
      <c r="J136" s="2" t="n">
        <f aca="false">G136*H136*(1-I136/100)</f>
        <v>108.8</v>
      </c>
      <c r="K136" s="2" t="n">
        <f aca="false">G136*4.8</f>
        <v>76.8</v>
      </c>
      <c r="L136" s="2" t="n">
        <f aca="false">J136-K136</f>
        <v>32</v>
      </c>
    </row>
    <row r="137" customFormat="false" ht="15" hidden="false" customHeight="false" outlineLevel="0" collapsed="false">
      <c r="A137" s="3" t="n">
        <v>136</v>
      </c>
      <c r="B137" s="3" t="s">
        <v>131</v>
      </c>
      <c r="C137" s="3" t="s">
        <v>32</v>
      </c>
      <c r="D137" s="3" t="s">
        <v>14</v>
      </c>
      <c r="E137" s="3" t="s">
        <v>29</v>
      </c>
      <c r="F137" s="3" t="s">
        <v>46</v>
      </c>
      <c r="G137" s="3" t="n">
        <v>11</v>
      </c>
      <c r="H137" s="3" t="n">
        <v>120</v>
      </c>
      <c r="I137" s="3" t="n">
        <v>20</v>
      </c>
      <c r="J137" s="3" t="n">
        <f aca="false">G137*H137*(1-I137/100)</f>
        <v>1056</v>
      </c>
      <c r="K137" s="3" t="n">
        <f aca="false">G137*72</f>
        <v>792</v>
      </c>
      <c r="L137" s="3" t="n">
        <f aca="false">J137-K137</f>
        <v>264</v>
      </c>
    </row>
    <row r="138" customFormat="false" ht="15" hidden="false" customHeight="false" outlineLevel="0" collapsed="false">
      <c r="A138" s="2" t="n">
        <v>137</v>
      </c>
      <c r="B138" s="2" t="s">
        <v>132</v>
      </c>
      <c r="C138" s="2" t="s">
        <v>28</v>
      </c>
      <c r="D138" s="2" t="s">
        <v>14</v>
      </c>
      <c r="E138" s="2" t="s">
        <v>15</v>
      </c>
      <c r="F138" s="2" t="s">
        <v>36</v>
      </c>
      <c r="G138" s="2" t="n">
        <v>19</v>
      </c>
      <c r="H138" s="2" t="n">
        <v>400</v>
      </c>
      <c r="I138" s="2" t="n">
        <v>20</v>
      </c>
      <c r="J138" s="2" t="n">
        <f aca="false">G138*H138*(1-I138/100)</f>
        <v>6080</v>
      </c>
      <c r="K138" s="2" t="n">
        <f aca="false">G138*240</f>
        <v>4560</v>
      </c>
      <c r="L138" s="2" t="n">
        <f aca="false">J138-K138</f>
        <v>1520</v>
      </c>
    </row>
    <row r="139" customFormat="false" ht="15" hidden="false" customHeight="false" outlineLevel="0" collapsed="false">
      <c r="A139" s="3" t="n">
        <v>138</v>
      </c>
      <c r="B139" s="3" t="s">
        <v>131</v>
      </c>
      <c r="C139" s="3" t="s">
        <v>13</v>
      </c>
      <c r="D139" s="3" t="s">
        <v>33</v>
      </c>
      <c r="E139" s="3" t="s">
        <v>15</v>
      </c>
      <c r="F139" s="3" t="s">
        <v>47</v>
      </c>
      <c r="G139" s="3" t="n">
        <v>17</v>
      </c>
      <c r="H139" s="3" t="n">
        <v>600</v>
      </c>
      <c r="I139" s="3" t="n">
        <v>15</v>
      </c>
      <c r="J139" s="3" t="n">
        <f aca="false">G139*H139*(1-I139/100)</f>
        <v>8670</v>
      </c>
      <c r="K139" s="3" t="n">
        <f aca="false">G139*360</f>
        <v>6120</v>
      </c>
      <c r="L139" s="3" t="n">
        <f aca="false">J139-K139</f>
        <v>2550</v>
      </c>
    </row>
    <row r="140" customFormat="false" ht="15" hidden="false" customHeight="false" outlineLevel="0" collapsed="false">
      <c r="A140" s="2" t="n">
        <v>139</v>
      </c>
      <c r="B140" s="2" t="s">
        <v>133</v>
      </c>
      <c r="C140" s="2" t="s">
        <v>18</v>
      </c>
      <c r="D140" s="2" t="s">
        <v>23</v>
      </c>
      <c r="E140" s="2" t="s">
        <v>19</v>
      </c>
      <c r="F140" s="2" t="s">
        <v>34</v>
      </c>
      <c r="G140" s="2" t="n">
        <v>3</v>
      </c>
      <c r="H140" s="2" t="n">
        <v>10</v>
      </c>
      <c r="I140" s="2" t="n">
        <v>15</v>
      </c>
      <c r="J140" s="2" t="n">
        <f aca="false">G140*H140*(1-I140/100)</f>
        <v>25.5</v>
      </c>
      <c r="K140" s="2" t="n">
        <f aca="false">G140*6</f>
        <v>18</v>
      </c>
      <c r="L140" s="2" t="n">
        <f aca="false">J140-K140</f>
        <v>7.5</v>
      </c>
    </row>
    <row r="141" customFormat="false" ht="15" hidden="false" customHeight="false" outlineLevel="0" collapsed="false">
      <c r="A141" s="3" t="n">
        <v>140</v>
      </c>
      <c r="B141" s="3" t="s">
        <v>134</v>
      </c>
      <c r="C141" s="3" t="s">
        <v>18</v>
      </c>
      <c r="D141" s="3" t="s">
        <v>33</v>
      </c>
      <c r="E141" s="3" t="s">
        <v>29</v>
      </c>
      <c r="F141" s="3" t="s">
        <v>46</v>
      </c>
      <c r="G141" s="3" t="n">
        <v>4</v>
      </c>
      <c r="H141" s="3" t="n">
        <v>120</v>
      </c>
      <c r="I141" s="3" t="n">
        <v>5</v>
      </c>
      <c r="J141" s="3" t="n">
        <f aca="false">G141*H141*(1-I141/100)</f>
        <v>456</v>
      </c>
      <c r="K141" s="3" t="n">
        <f aca="false">G141*72</f>
        <v>288</v>
      </c>
      <c r="L141" s="3" t="n">
        <f aca="false">J141-K141</f>
        <v>168</v>
      </c>
    </row>
    <row r="142" customFormat="false" ht="15" hidden="false" customHeight="false" outlineLevel="0" collapsed="false">
      <c r="A142" s="2" t="n">
        <v>141</v>
      </c>
      <c r="B142" s="2" t="s">
        <v>135</v>
      </c>
      <c r="C142" s="2" t="s">
        <v>18</v>
      </c>
      <c r="D142" s="2" t="s">
        <v>14</v>
      </c>
      <c r="E142" s="2" t="s">
        <v>29</v>
      </c>
      <c r="F142" s="2" t="s">
        <v>46</v>
      </c>
      <c r="G142" s="2" t="n">
        <v>13</v>
      </c>
      <c r="H142" s="2" t="n">
        <v>120</v>
      </c>
      <c r="I142" s="2" t="n">
        <v>20</v>
      </c>
      <c r="J142" s="2" t="n">
        <f aca="false">G142*H142*(1-I142/100)</f>
        <v>1248</v>
      </c>
      <c r="K142" s="2" t="n">
        <f aca="false">G142*72</f>
        <v>936</v>
      </c>
      <c r="L142" s="2" t="n">
        <f aca="false">J142-K142</f>
        <v>312</v>
      </c>
    </row>
    <row r="143" customFormat="false" ht="15" hidden="false" customHeight="false" outlineLevel="0" collapsed="false">
      <c r="A143" s="3" t="n">
        <v>142</v>
      </c>
      <c r="B143" s="3" t="s">
        <v>136</v>
      </c>
      <c r="C143" s="3" t="s">
        <v>18</v>
      </c>
      <c r="D143" s="3" t="s">
        <v>14</v>
      </c>
      <c r="E143" s="3" t="s">
        <v>29</v>
      </c>
      <c r="F143" s="3" t="s">
        <v>40</v>
      </c>
      <c r="G143" s="3" t="n">
        <v>11</v>
      </c>
      <c r="H143" s="3" t="n">
        <v>60</v>
      </c>
      <c r="I143" s="3" t="n">
        <v>0</v>
      </c>
      <c r="J143" s="3" t="n">
        <f aca="false">G143*H143*(1-I143/100)</f>
        <v>660</v>
      </c>
      <c r="K143" s="3" t="n">
        <f aca="false">G143*36</f>
        <v>396</v>
      </c>
      <c r="L143" s="3" t="n">
        <f aca="false">J143-K143</f>
        <v>264</v>
      </c>
    </row>
    <row r="144" customFormat="false" ht="15" hidden="false" customHeight="false" outlineLevel="0" collapsed="false">
      <c r="A144" s="2" t="n">
        <v>143</v>
      </c>
      <c r="B144" s="2" t="s">
        <v>135</v>
      </c>
      <c r="C144" s="2" t="s">
        <v>13</v>
      </c>
      <c r="D144" s="2" t="s">
        <v>23</v>
      </c>
      <c r="E144" s="2" t="s">
        <v>19</v>
      </c>
      <c r="F144" s="2" t="s">
        <v>20</v>
      </c>
      <c r="G144" s="2" t="n">
        <v>15</v>
      </c>
      <c r="H144" s="2" t="n">
        <v>8</v>
      </c>
      <c r="I144" s="2" t="n">
        <v>15</v>
      </c>
      <c r="J144" s="2" t="n">
        <f aca="false">G144*H144*(1-I144/100)</f>
        <v>102</v>
      </c>
      <c r="K144" s="2" t="n">
        <f aca="false">G144*4.8</f>
        <v>72</v>
      </c>
      <c r="L144" s="2" t="n">
        <f aca="false">J144-K144</f>
        <v>30</v>
      </c>
    </row>
    <row r="145" customFormat="false" ht="15" hidden="false" customHeight="false" outlineLevel="0" collapsed="false">
      <c r="A145" s="3" t="n">
        <v>144</v>
      </c>
      <c r="B145" s="3" t="s">
        <v>137</v>
      </c>
      <c r="C145" s="3" t="s">
        <v>28</v>
      </c>
      <c r="D145" s="3" t="s">
        <v>26</v>
      </c>
      <c r="E145" s="3" t="s">
        <v>19</v>
      </c>
      <c r="F145" s="3" t="s">
        <v>34</v>
      </c>
      <c r="G145" s="3" t="n">
        <v>15</v>
      </c>
      <c r="H145" s="3" t="n">
        <v>10</v>
      </c>
      <c r="I145" s="3" t="n">
        <v>0</v>
      </c>
      <c r="J145" s="3" t="n">
        <f aca="false">G145*H145*(1-I145/100)</f>
        <v>150</v>
      </c>
      <c r="K145" s="3" t="n">
        <f aca="false">G145*6</f>
        <v>90</v>
      </c>
      <c r="L145" s="3" t="n">
        <f aca="false">J145-K145</f>
        <v>60</v>
      </c>
    </row>
    <row r="146" customFormat="false" ht="15" hidden="false" customHeight="false" outlineLevel="0" collapsed="false">
      <c r="A146" s="2" t="n">
        <v>145</v>
      </c>
      <c r="B146" s="2" t="s">
        <v>132</v>
      </c>
      <c r="C146" s="2" t="s">
        <v>22</v>
      </c>
      <c r="D146" s="2" t="s">
        <v>26</v>
      </c>
      <c r="E146" s="2" t="s">
        <v>29</v>
      </c>
      <c r="F146" s="2" t="s">
        <v>40</v>
      </c>
      <c r="G146" s="2" t="n">
        <v>16</v>
      </c>
      <c r="H146" s="2" t="n">
        <v>60</v>
      </c>
      <c r="I146" s="2" t="n">
        <v>0</v>
      </c>
      <c r="J146" s="2" t="n">
        <f aca="false">G146*H146*(1-I146/100)</f>
        <v>960</v>
      </c>
      <c r="K146" s="2" t="n">
        <f aca="false">G146*36</f>
        <v>576</v>
      </c>
      <c r="L146" s="2" t="n">
        <f aca="false">J146-K146</f>
        <v>384</v>
      </c>
    </row>
    <row r="147" customFormat="false" ht="15" hidden="false" customHeight="false" outlineLevel="0" collapsed="false">
      <c r="A147" s="3" t="n">
        <v>146</v>
      </c>
      <c r="B147" s="3" t="s">
        <v>138</v>
      </c>
      <c r="C147" s="3" t="s">
        <v>32</v>
      </c>
      <c r="D147" s="3" t="s">
        <v>26</v>
      </c>
      <c r="E147" s="3" t="s">
        <v>29</v>
      </c>
      <c r="F147" s="3" t="s">
        <v>46</v>
      </c>
      <c r="G147" s="3" t="n">
        <v>1</v>
      </c>
      <c r="H147" s="3" t="n">
        <v>120</v>
      </c>
      <c r="I147" s="3" t="n">
        <v>20</v>
      </c>
      <c r="J147" s="3" t="n">
        <f aca="false">G147*H147*(1-I147/100)</f>
        <v>96</v>
      </c>
      <c r="K147" s="3" t="n">
        <f aca="false">G147*72</f>
        <v>72</v>
      </c>
      <c r="L147" s="3" t="n">
        <f aca="false">J147-K147</f>
        <v>24</v>
      </c>
    </row>
    <row r="148" customFormat="false" ht="15" hidden="false" customHeight="false" outlineLevel="0" collapsed="false">
      <c r="A148" s="2" t="n">
        <v>147</v>
      </c>
      <c r="B148" s="2" t="s">
        <v>139</v>
      </c>
      <c r="C148" s="2" t="s">
        <v>28</v>
      </c>
      <c r="D148" s="2" t="s">
        <v>23</v>
      </c>
      <c r="E148" s="2" t="s">
        <v>15</v>
      </c>
      <c r="F148" s="2" t="s">
        <v>47</v>
      </c>
      <c r="G148" s="2" t="n">
        <v>4</v>
      </c>
      <c r="H148" s="2" t="n">
        <v>600</v>
      </c>
      <c r="I148" s="2" t="n">
        <v>5</v>
      </c>
      <c r="J148" s="2" t="n">
        <f aca="false">G148*H148*(1-I148/100)</f>
        <v>2280</v>
      </c>
      <c r="K148" s="2" t="n">
        <f aca="false">G148*360</f>
        <v>1440</v>
      </c>
      <c r="L148" s="2" t="n">
        <f aca="false">J148-K148</f>
        <v>840</v>
      </c>
    </row>
    <row r="149" customFormat="false" ht="15" hidden="false" customHeight="false" outlineLevel="0" collapsed="false">
      <c r="A149" s="3" t="n">
        <v>148</v>
      </c>
      <c r="B149" s="3" t="s">
        <v>140</v>
      </c>
      <c r="C149" s="3" t="s">
        <v>22</v>
      </c>
      <c r="D149" s="3" t="s">
        <v>26</v>
      </c>
      <c r="E149" s="3" t="s">
        <v>29</v>
      </c>
      <c r="F149" s="3" t="s">
        <v>40</v>
      </c>
      <c r="G149" s="3" t="n">
        <v>16</v>
      </c>
      <c r="H149" s="3" t="n">
        <v>60</v>
      </c>
      <c r="I149" s="3" t="n">
        <v>5</v>
      </c>
      <c r="J149" s="3" t="n">
        <f aca="false">G149*H149*(1-I149/100)</f>
        <v>912</v>
      </c>
      <c r="K149" s="3" t="n">
        <f aca="false">G149*36</f>
        <v>576</v>
      </c>
      <c r="L149" s="3" t="n">
        <f aca="false">J149-K149</f>
        <v>336</v>
      </c>
    </row>
    <row r="150" customFormat="false" ht="15" hidden="false" customHeight="false" outlineLevel="0" collapsed="false">
      <c r="A150" s="2" t="n">
        <v>149</v>
      </c>
      <c r="B150" s="2" t="s">
        <v>141</v>
      </c>
      <c r="C150" s="2" t="s">
        <v>13</v>
      </c>
      <c r="D150" s="2" t="s">
        <v>14</v>
      </c>
      <c r="E150" s="2" t="s">
        <v>29</v>
      </c>
      <c r="F150" s="2" t="s">
        <v>30</v>
      </c>
      <c r="G150" s="2" t="n">
        <v>20</v>
      </c>
      <c r="H150" s="2" t="n">
        <v>25</v>
      </c>
      <c r="I150" s="2" t="n">
        <v>20</v>
      </c>
      <c r="J150" s="2" t="n">
        <f aca="false">G150*H150*(1-I150/100)</f>
        <v>400</v>
      </c>
      <c r="K150" s="2" t="n">
        <f aca="false">G150*15</f>
        <v>300</v>
      </c>
      <c r="L150" s="2" t="n">
        <f aca="false">J150-K150</f>
        <v>100</v>
      </c>
    </row>
    <row r="151" customFormat="false" ht="15" hidden="false" customHeight="false" outlineLevel="0" collapsed="false">
      <c r="A151" s="3" t="n">
        <v>150</v>
      </c>
      <c r="B151" s="3" t="s">
        <v>142</v>
      </c>
      <c r="C151" s="3" t="s">
        <v>32</v>
      </c>
      <c r="D151" s="3" t="s">
        <v>23</v>
      </c>
      <c r="E151" s="3" t="s">
        <v>29</v>
      </c>
      <c r="F151" s="3" t="s">
        <v>40</v>
      </c>
      <c r="G151" s="3" t="n">
        <v>11</v>
      </c>
      <c r="H151" s="3" t="n">
        <v>60</v>
      </c>
      <c r="I151" s="3" t="n">
        <v>20</v>
      </c>
      <c r="J151" s="3" t="n">
        <f aca="false">G151*H151*(1-I151/100)</f>
        <v>528</v>
      </c>
      <c r="K151" s="3" t="n">
        <f aca="false">G151*36</f>
        <v>396</v>
      </c>
      <c r="L151" s="3" t="n">
        <f aca="false">J151-K151</f>
        <v>132</v>
      </c>
    </row>
    <row r="152" customFormat="false" ht="15" hidden="false" customHeight="false" outlineLevel="0" collapsed="false">
      <c r="A152" s="2" t="n">
        <v>151</v>
      </c>
      <c r="B152" s="2" t="s">
        <v>143</v>
      </c>
      <c r="C152" s="2" t="s">
        <v>18</v>
      </c>
      <c r="D152" s="2" t="s">
        <v>26</v>
      </c>
      <c r="E152" s="2" t="s">
        <v>19</v>
      </c>
      <c r="F152" s="2" t="s">
        <v>34</v>
      </c>
      <c r="G152" s="2" t="n">
        <v>19</v>
      </c>
      <c r="H152" s="2" t="n">
        <v>10</v>
      </c>
      <c r="I152" s="2" t="n">
        <v>20</v>
      </c>
      <c r="J152" s="2" t="n">
        <f aca="false">G152*H152*(1-I152/100)</f>
        <v>152</v>
      </c>
      <c r="K152" s="2" t="n">
        <f aca="false">G152*6</f>
        <v>114</v>
      </c>
      <c r="L152" s="2" t="n">
        <f aca="false">J152-K152</f>
        <v>38</v>
      </c>
    </row>
    <row r="153" customFormat="false" ht="15" hidden="false" customHeight="false" outlineLevel="0" collapsed="false">
      <c r="A153" s="3" t="n">
        <v>152</v>
      </c>
      <c r="B153" s="3" t="s">
        <v>144</v>
      </c>
      <c r="C153" s="3" t="s">
        <v>22</v>
      </c>
      <c r="D153" s="3" t="s">
        <v>33</v>
      </c>
      <c r="E153" s="3" t="s">
        <v>29</v>
      </c>
      <c r="F153" s="3" t="s">
        <v>46</v>
      </c>
      <c r="G153" s="3" t="n">
        <v>16</v>
      </c>
      <c r="H153" s="3" t="n">
        <v>120</v>
      </c>
      <c r="I153" s="3" t="n">
        <v>10</v>
      </c>
      <c r="J153" s="3" t="n">
        <f aca="false">G153*H153*(1-I153/100)</f>
        <v>1728</v>
      </c>
      <c r="K153" s="3" t="n">
        <f aca="false">G153*72</f>
        <v>1152</v>
      </c>
      <c r="L153" s="3" t="n">
        <f aca="false">J153-K153</f>
        <v>576</v>
      </c>
    </row>
    <row r="154" customFormat="false" ht="15" hidden="false" customHeight="false" outlineLevel="0" collapsed="false">
      <c r="A154" s="2" t="n">
        <v>153</v>
      </c>
      <c r="B154" s="2" t="s">
        <v>145</v>
      </c>
      <c r="C154" s="2" t="s">
        <v>18</v>
      </c>
      <c r="D154" s="2" t="s">
        <v>26</v>
      </c>
      <c r="E154" s="2" t="s">
        <v>29</v>
      </c>
      <c r="F154" s="2" t="s">
        <v>40</v>
      </c>
      <c r="G154" s="2" t="n">
        <v>7</v>
      </c>
      <c r="H154" s="2" t="n">
        <v>60</v>
      </c>
      <c r="I154" s="2" t="n">
        <v>5</v>
      </c>
      <c r="J154" s="2" t="n">
        <f aca="false">G154*H154*(1-I154/100)</f>
        <v>399</v>
      </c>
      <c r="K154" s="2" t="n">
        <f aca="false">G154*36</f>
        <v>252</v>
      </c>
      <c r="L154" s="2" t="n">
        <f aca="false">J154-K154</f>
        <v>147</v>
      </c>
    </row>
    <row r="155" customFormat="false" ht="15" hidden="false" customHeight="false" outlineLevel="0" collapsed="false">
      <c r="A155" s="3" t="n">
        <v>154</v>
      </c>
      <c r="B155" s="3" t="s">
        <v>146</v>
      </c>
      <c r="C155" s="3" t="s">
        <v>18</v>
      </c>
      <c r="D155" s="3" t="s">
        <v>33</v>
      </c>
      <c r="E155" s="3" t="s">
        <v>29</v>
      </c>
      <c r="F155" s="3" t="s">
        <v>30</v>
      </c>
      <c r="G155" s="3" t="n">
        <v>11</v>
      </c>
      <c r="H155" s="3" t="n">
        <v>25</v>
      </c>
      <c r="I155" s="3" t="n">
        <v>15</v>
      </c>
      <c r="J155" s="3" t="n">
        <f aca="false">G155*H155*(1-I155/100)</f>
        <v>233.75</v>
      </c>
      <c r="K155" s="3" t="n">
        <f aca="false">G155*15</f>
        <v>165</v>
      </c>
      <c r="L155" s="3" t="n">
        <f aca="false">J155-K155</f>
        <v>68.75</v>
      </c>
    </row>
    <row r="156" customFormat="false" ht="15" hidden="false" customHeight="false" outlineLevel="0" collapsed="false">
      <c r="A156" s="2" t="n">
        <v>155</v>
      </c>
      <c r="B156" s="2" t="s">
        <v>147</v>
      </c>
      <c r="C156" s="2" t="s">
        <v>13</v>
      </c>
      <c r="D156" s="2" t="s">
        <v>23</v>
      </c>
      <c r="E156" s="2" t="s">
        <v>19</v>
      </c>
      <c r="F156" s="2" t="s">
        <v>20</v>
      </c>
      <c r="G156" s="2" t="n">
        <v>5</v>
      </c>
      <c r="H156" s="2" t="n">
        <v>8</v>
      </c>
      <c r="I156" s="2" t="n">
        <v>15</v>
      </c>
      <c r="J156" s="2" t="n">
        <f aca="false">G156*H156*(1-I156/100)</f>
        <v>34</v>
      </c>
      <c r="K156" s="2" t="n">
        <f aca="false">G156*4.8</f>
        <v>24</v>
      </c>
      <c r="L156" s="2" t="n">
        <f aca="false">J156-K156</f>
        <v>10</v>
      </c>
    </row>
    <row r="157" customFormat="false" ht="15" hidden="false" customHeight="false" outlineLevel="0" collapsed="false">
      <c r="A157" s="3" t="n">
        <v>156</v>
      </c>
      <c r="B157" s="3" t="s">
        <v>140</v>
      </c>
      <c r="C157" s="3" t="s">
        <v>32</v>
      </c>
      <c r="D157" s="3" t="s">
        <v>26</v>
      </c>
      <c r="E157" s="3" t="s">
        <v>15</v>
      </c>
      <c r="F157" s="3" t="s">
        <v>47</v>
      </c>
      <c r="G157" s="3" t="n">
        <v>4</v>
      </c>
      <c r="H157" s="3" t="n">
        <v>600</v>
      </c>
      <c r="I157" s="3" t="n">
        <v>20</v>
      </c>
      <c r="J157" s="3" t="n">
        <f aca="false">G157*H157*(1-I157/100)</f>
        <v>1920</v>
      </c>
      <c r="K157" s="3" t="n">
        <f aca="false">G157*360</f>
        <v>1440</v>
      </c>
      <c r="L157" s="3" t="n">
        <f aca="false">J157-K157</f>
        <v>480</v>
      </c>
    </row>
    <row r="158" customFormat="false" ht="15" hidden="false" customHeight="false" outlineLevel="0" collapsed="false">
      <c r="A158" s="2" t="n">
        <v>157</v>
      </c>
      <c r="B158" s="2" t="s">
        <v>139</v>
      </c>
      <c r="C158" s="2" t="s">
        <v>28</v>
      </c>
      <c r="D158" s="2" t="s">
        <v>23</v>
      </c>
      <c r="E158" s="2" t="s">
        <v>29</v>
      </c>
      <c r="F158" s="2" t="s">
        <v>46</v>
      </c>
      <c r="G158" s="2" t="n">
        <v>5</v>
      </c>
      <c r="H158" s="2" t="n">
        <v>120</v>
      </c>
      <c r="I158" s="2" t="n">
        <v>0</v>
      </c>
      <c r="J158" s="2" t="n">
        <f aca="false">G158*H158*(1-I158/100)</f>
        <v>600</v>
      </c>
      <c r="K158" s="2" t="n">
        <f aca="false">G158*72</f>
        <v>360</v>
      </c>
      <c r="L158" s="2" t="n">
        <f aca="false">J158-K158</f>
        <v>240</v>
      </c>
    </row>
    <row r="159" customFormat="false" ht="15" hidden="false" customHeight="false" outlineLevel="0" collapsed="false">
      <c r="A159" s="3" t="n">
        <v>158</v>
      </c>
      <c r="B159" s="3" t="s">
        <v>148</v>
      </c>
      <c r="C159" s="3" t="s">
        <v>28</v>
      </c>
      <c r="D159" s="3" t="s">
        <v>33</v>
      </c>
      <c r="E159" s="3" t="s">
        <v>19</v>
      </c>
      <c r="F159" s="3" t="s">
        <v>20</v>
      </c>
      <c r="G159" s="3" t="n">
        <v>13</v>
      </c>
      <c r="H159" s="3" t="n">
        <v>8</v>
      </c>
      <c r="I159" s="3" t="n">
        <v>0</v>
      </c>
      <c r="J159" s="3" t="n">
        <f aca="false">G159*H159*(1-I159/100)</f>
        <v>104</v>
      </c>
      <c r="K159" s="3" t="n">
        <f aca="false">G159*4.8</f>
        <v>62.4</v>
      </c>
      <c r="L159" s="3" t="n">
        <f aca="false">J159-K159</f>
        <v>41.6</v>
      </c>
    </row>
    <row r="160" customFormat="false" ht="15" hidden="false" customHeight="false" outlineLevel="0" collapsed="false">
      <c r="A160" s="2" t="n">
        <v>159</v>
      </c>
      <c r="B160" s="2" t="s">
        <v>147</v>
      </c>
      <c r="C160" s="2" t="s">
        <v>22</v>
      </c>
      <c r="D160" s="2" t="s">
        <v>14</v>
      </c>
      <c r="E160" s="2" t="s">
        <v>29</v>
      </c>
      <c r="F160" s="2" t="s">
        <v>46</v>
      </c>
      <c r="G160" s="2" t="n">
        <v>16</v>
      </c>
      <c r="H160" s="2" t="n">
        <v>120</v>
      </c>
      <c r="I160" s="2" t="n">
        <v>20</v>
      </c>
      <c r="J160" s="2" t="n">
        <f aca="false">G160*H160*(1-I160/100)</f>
        <v>1536</v>
      </c>
      <c r="K160" s="2" t="n">
        <f aca="false">G160*72</f>
        <v>1152</v>
      </c>
      <c r="L160" s="2" t="n">
        <f aca="false">J160-K160</f>
        <v>384</v>
      </c>
    </row>
    <row r="161" customFormat="false" ht="15" hidden="false" customHeight="false" outlineLevel="0" collapsed="false">
      <c r="A161" s="3" t="n">
        <v>160</v>
      </c>
      <c r="B161" s="3" t="s">
        <v>141</v>
      </c>
      <c r="C161" s="3" t="s">
        <v>32</v>
      </c>
      <c r="D161" s="3" t="s">
        <v>33</v>
      </c>
      <c r="E161" s="3" t="s">
        <v>15</v>
      </c>
      <c r="F161" s="3" t="s">
        <v>36</v>
      </c>
      <c r="G161" s="3" t="n">
        <v>10</v>
      </c>
      <c r="H161" s="3" t="n">
        <v>400</v>
      </c>
      <c r="I161" s="3" t="n">
        <v>5</v>
      </c>
      <c r="J161" s="3" t="n">
        <f aca="false">G161*H161*(1-I161/100)</f>
        <v>3800</v>
      </c>
      <c r="K161" s="3" t="n">
        <f aca="false">G161*240</f>
        <v>2400</v>
      </c>
      <c r="L161" s="3" t="n">
        <f aca="false">J161-K161</f>
        <v>1400</v>
      </c>
    </row>
    <row r="162" customFormat="false" ht="15" hidden="false" customHeight="false" outlineLevel="0" collapsed="false">
      <c r="A162" s="2" t="n">
        <v>161</v>
      </c>
      <c r="B162" s="2" t="s">
        <v>149</v>
      </c>
      <c r="C162" s="2" t="s">
        <v>28</v>
      </c>
      <c r="D162" s="2" t="s">
        <v>14</v>
      </c>
      <c r="E162" s="2" t="s">
        <v>15</v>
      </c>
      <c r="F162" s="2" t="s">
        <v>36</v>
      </c>
      <c r="G162" s="2" t="n">
        <v>4</v>
      </c>
      <c r="H162" s="2" t="n">
        <v>400</v>
      </c>
      <c r="I162" s="2" t="n">
        <v>15</v>
      </c>
      <c r="J162" s="2" t="n">
        <f aca="false">G162*H162*(1-I162/100)</f>
        <v>1360</v>
      </c>
      <c r="K162" s="2" t="n">
        <f aca="false">G162*240</f>
        <v>960</v>
      </c>
      <c r="L162" s="2" t="n">
        <f aca="false">J162-K162</f>
        <v>400</v>
      </c>
    </row>
    <row r="163" customFormat="false" ht="15" hidden="false" customHeight="false" outlineLevel="0" collapsed="false">
      <c r="A163" s="3" t="n">
        <v>162</v>
      </c>
      <c r="B163" s="3" t="s">
        <v>150</v>
      </c>
      <c r="C163" s="3" t="s">
        <v>28</v>
      </c>
      <c r="D163" s="3" t="s">
        <v>33</v>
      </c>
      <c r="E163" s="3" t="s">
        <v>15</v>
      </c>
      <c r="F163" s="3" t="s">
        <v>47</v>
      </c>
      <c r="G163" s="3" t="n">
        <v>2</v>
      </c>
      <c r="H163" s="3" t="n">
        <v>600</v>
      </c>
      <c r="I163" s="3" t="n">
        <v>10</v>
      </c>
      <c r="J163" s="3" t="n">
        <f aca="false">G163*H163*(1-I163/100)</f>
        <v>1080</v>
      </c>
      <c r="K163" s="3" t="n">
        <f aca="false">G163*360</f>
        <v>720</v>
      </c>
      <c r="L163" s="3" t="n">
        <f aca="false">J163-K163</f>
        <v>360</v>
      </c>
    </row>
    <row r="164" customFormat="false" ht="15" hidden="false" customHeight="false" outlineLevel="0" collapsed="false">
      <c r="A164" s="2" t="n">
        <v>163</v>
      </c>
      <c r="B164" s="2" t="s">
        <v>151</v>
      </c>
      <c r="C164" s="2" t="s">
        <v>13</v>
      </c>
      <c r="D164" s="2" t="s">
        <v>26</v>
      </c>
      <c r="E164" s="2" t="s">
        <v>15</v>
      </c>
      <c r="F164" s="2" t="s">
        <v>36</v>
      </c>
      <c r="G164" s="2" t="n">
        <v>14</v>
      </c>
      <c r="H164" s="2" t="n">
        <v>400</v>
      </c>
      <c r="I164" s="2" t="n">
        <v>20</v>
      </c>
      <c r="J164" s="2" t="n">
        <f aca="false">G164*H164*(1-I164/100)</f>
        <v>4480</v>
      </c>
      <c r="K164" s="2" t="n">
        <f aca="false">G164*240</f>
        <v>3360</v>
      </c>
      <c r="L164" s="2" t="n">
        <f aca="false">J164-K164</f>
        <v>1120</v>
      </c>
    </row>
    <row r="165" customFormat="false" ht="15" hidden="false" customHeight="false" outlineLevel="0" collapsed="false">
      <c r="A165" s="3" t="n">
        <v>164</v>
      </c>
      <c r="B165" s="3" t="s">
        <v>152</v>
      </c>
      <c r="C165" s="3" t="s">
        <v>13</v>
      </c>
      <c r="D165" s="3" t="s">
        <v>33</v>
      </c>
      <c r="E165" s="3" t="s">
        <v>15</v>
      </c>
      <c r="F165" s="3" t="s">
        <v>16</v>
      </c>
      <c r="G165" s="3" t="n">
        <v>20</v>
      </c>
      <c r="H165" s="3" t="n">
        <v>1200</v>
      </c>
      <c r="I165" s="3" t="n">
        <v>15</v>
      </c>
      <c r="J165" s="3" t="n">
        <f aca="false">G165*H165*(1-I165/100)</f>
        <v>20400</v>
      </c>
      <c r="K165" s="3" t="n">
        <f aca="false">G165*720</f>
        <v>14400</v>
      </c>
      <c r="L165" s="3" t="n">
        <f aca="false">J165-K165</f>
        <v>6000</v>
      </c>
    </row>
    <row r="166" customFormat="false" ht="15" hidden="false" customHeight="false" outlineLevel="0" collapsed="false">
      <c r="A166" s="2" t="n">
        <v>165</v>
      </c>
      <c r="B166" s="2" t="s">
        <v>153</v>
      </c>
      <c r="C166" s="2" t="s">
        <v>28</v>
      </c>
      <c r="D166" s="2" t="s">
        <v>33</v>
      </c>
      <c r="E166" s="2" t="s">
        <v>19</v>
      </c>
      <c r="F166" s="2" t="s">
        <v>24</v>
      </c>
      <c r="G166" s="2" t="n">
        <v>8</v>
      </c>
      <c r="H166" s="2" t="n">
        <v>15</v>
      </c>
      <c r="I166" s="2" t="n">
        <v>15</v>
      </c>
      <c r="J166" s="2" t="n">
        <f aca="false">G166*H166*(1-I166/100)</f>
        <v>102</v>
      </c>
      <c r="K166" s="2" t="n">
        <f aca="false">G166*9</f>
        <v>72</v>
      </c>
      <c r="L166" s="2" t="n">
        <f aca="false">J166-K166</f>
        <v>30</v>
      </c>
    </row>
    <row r="167" customFormat="false" ht="15" hidden="false" customHeight="false" outlineLevel="0" collapsed="false">
      <c r="A167" s="3" t="n">
        <v>166</v>
      </c>
      <c r="B167" s="3" t="s">
        <v>154</v>
      </c>
      <c r="C167" s="3" t="s">
        <v>22</v>
      </c>
      <c r="D167" s="3" t="s">
        <v>26</v>
      </c>
      <c r="E167" s="3" t="s">
        <v>29</v>
      </c>
      <c r="F167" s="3" t="s">
        <v>46</v>
      </c>
      <c r="G167" s="3" t="n">
        <v>1</v>
      </c>
      <c r="H167" s="3" t="n">
        <v>120</v>
      </c>
      <c r="I167" s="3" t="n">
        <v>15</v>
      </c>
      <c r="J167" s="3" t="n">
        <f aca="false">G167*H167*(1-I167/100)</f>
        <v>102</v>
      </c>
      <c r="K167" s="3" t="n">
        <f aca="false">G167*72</f>
        <v>72</v>
      </c>
      <c r="L167" s="3" t="n">
        <f aca="false">J167-K167</f>
        <v>30</v>
      </c>
    </row>
    <row r="168" customFormat="false" ht="15" hidden="false" customHeight="false" outlineLevel="0" collapsed="false">
      <c r="A168" s="2" t="n">
        <v>167</v>
      </c>
      <c r="B168" s="2" t="s">
        <v>154</v>
      </c>
      <c r="C168" s="2" t="s">
        <v>18</v>
      </c>
      <c r="D168" s="2" t="s">
        <v>23</v>
      </c>
      <c r="E168" s="2" t="s">
        <v>15</v>
      </c>
      <c r="F168" s="2" t="s">
        <v>47</v>
      </c>
      <c r="G168" s="2" t="n">
        <v>12</v>
      </c>
      <c r="H168" s="2" t="n">
        <v>600</v>
      </c>
      <c r="I168" s="2" t="n">
        <v>20</v>
      </c>
      <c r="J168" s="2" t="n">
        <f aca="false">G168*H168*(1-I168/100)</f>
        <v>5760</v>
      </c>
      <c r="K168" s="2" t="n">
        <f aca="false">G168*360</f>
        <v>4320</v>
      </c>
      <c r="L168" s="2" t="n">
        <f aca="false">J168-K168</f>
        <v>1440</v>
      </c>
    </row>
    <row r="169" customFormat="false" ht="15" hidden="false" customHeight="false" outlineLevel="0" collapsed="false">
      <c r="A169" s="3" t="n">
        <v>168</v>
      </c>
      <c r="B169" s="3" t="s">
        <v>155</v>
      </c>
      <c r="C169" s="3" t="s">
        <v>18</v>
      </c>
      <c r="D169" s="3" t="s">
        <v>14</v>
      </c>
      <c r="E169" s="3" t="s">
        <v>29</v>
      </c>
      <c r="F169" s="3" t="s">
        <v>40</v>
      </c>
      <c r="G169" s="3" t="n">
        <v>7</v>
      </c>
      <c r="H169" s="3" t="n">
        <v>60</v>
      </c>
      <c r="I169" s="3" t="n">
        <v>15</v>
      </c>
      <c r="J169" s="3" t="n">
        <f aca="false">G169*H169*(1-I169/100)</f>
        <v>357</v>
      </c>
      <c r="K169" s="3" t="n">
        <f aca="false">G169*36</f>
        <v>252</v>
      </c>
      <c r="L169" s="3" t="n">
        <f aca="false">J169-K169</f>
        <v>105</v>
      </c>
    </row>
    <row r="170" customFormat="false" ht="15" hidden="false" customHeight="false" outlineLevel="0" collapsed="false">
      <c r="A170" s="2" t="n">
        <v>169</v>
      </c>
      <c r="B170" s="2" t="s">
        <v>156</v>
      </c>
      <c r="C170" s="2" t="s">
        <v>28</v>
      </c>
      <c r="D170" s="2" t="s">
        <v>23</v>
      </c>
      <c r="E170" s="2" t="s">
        <v>15</v>
      </c>
      <c r="F170" s="2" t="s">
        <v>47</v>
      </c>
      <c r="G170" s="2" t="n">
        <v>19</v>
      </c>
      <c r="H170" s="2" t="n">
        <v>600</v>
      </c>
      <c r="I170" s="2" t="n">
        <v>10</v>
      </c>
      <c r="J170" s="2" t="n">
        <f aca="false">G170*H170*(1-I170/100)</f>
        <v>10260</v>
      </c>
      <c r="K170" s="2" t="n">
        <f aca="false">G170*360</f>
        <v>6840</v>
      </c>
      <c r="L170" s="2" t="n">
        <f aca="false">J170-K170</f>
        <v>3420</v>
      </c>
    </row>
    <row r="171" customFormat="false" ht="15" hidden="false" customHeight="false" outlineLevel="0" collapsed="false">
      <c r="A171" s="3" t="n">
        <v>170</v>
      </c>
      <c r="B171" s="3" t="s">
        <v>157</v>
      </c>
      <c r="C171" s="3" t="s">
        <v>22</v>
      </c>
      <c r="D171" s="3" t="s">
        <v>14</v>
      </c>
      <c r="E171" s="3" t="s">
        <v>15</v>
      </c>
      <c r="F171" s="3" t="s">
        <v>36</v>
      </c>
      <c r="G171" s="3" t="n">
        <v>13</v>
      </c>
      <c r="H171" s="3" t="n">
        <v>400</v>
      </c>
      <c r="I171" s="3" t="n">
        <v>10</v>
      </c>
      <c r="J171" s="3" t="n">
        <f aca="false">G171*H171*(1-I171/100)</f>
        <v>4680</v>
      </c>
      <c r="K171" s="3" t="n">
        <f aca="false">G171*240</f>
        <v>3120</v>
      </c>
      <c r="L171" s="3" t="n">
        <f aca="false">J171-K171</f>
        <v>1560</v>
      </c>
    </row>
    <row r="172" customFormat="false" ht="15" hidden="false" customHeight="false" outlineLevel="0" collapsed="false">
      <c r="A172" s="2" t="n">
        <v>171</v>
      </c>
      <c r="B172" s="2" t="s">
        <v>158</v>
      </c>
      <c r="C172" s="2" t="s">
        <v>13</v>
      </c>
      <c r="D172" s="2" t="s">
        <v>23</v>
      </c>
      <c r="E172" s="2" t="s">
        <v>19</v>
      </c>
      <c r="F172" s="2" t="s">
        <v>20</v>
      </c>
      <c r="G172" s="2" t="n">
        <v>16</v>
      </c>
      <c r="H172" s="2" t="n">
        <v>8</v>
      </c>
      <c r="I172" s="2" t="n">
        <v>10</v>
      </c>
      <c r="J172" s="2" t="n">
        <f aca="false">G172*H172*(1-I172/100)</f>
        <v>115.2</v>
      </c>
      <c r="K172" s="2" t="n">
        <f aca="false">G172*4.8</f>
        <v>76.8</v>
      </c>
      <c r="L172" s="2" t="n">
        <f aca="false">J172-K172</f>
        <v>38.4</v>
      </c>
    </row>
    <row r="173" customFormat="false" ht="15" hidden="false" customHeight="false" outlineLevel="0" collapsed="false">
      <c r="A173" s="3" t="n">
        <v>172</v>
      </c>
      <c r="B173" s="3" t="s">
        <v>159</v>
      </c>
      <c r="C173" s="3" t="s">
        <v>13</v>
      </c>
      <c r="D173" s="3" t="s">
        <v>14</v>
      </c>
      <c r="E173" s="3" t="s">
        <v>15</v>
      </c>
      <c r="F173" s="3" t="s">
        <v>36</v>
      </c>
      <c r="G173" s="3" t="n">
        <v>7</v>
      </c>
      <c r="H173" s="3" t="n">
        <v>400</v>
      </c>
      <c r="I173" s="3" t="n">
        <v>20</v>
      </c>
      <c r="J173" s="3" t="n">
        <f aca="false">G173*H173*(1-I173/100)</f>
        <v>2240</v>
      </c>
      <c r="K173" s="3" t="n">
        <f aca="false">G173*240</f>
        <v>1680</v>
      </c>
      <c r="L173" s="3" t="n">
        <f aca="false">J173-K173</f>
        <v>560</v>
      </c>
    </row>
    <row r="174" customFormat="false" ht="15" hidden="false" customHeight="false" outlineLevel="0" collapsed="false">
      <c r="A174" s="2" t="n">
        <v>173</v>
      </c>
      <c r="B174" s="2" t="s">
        <v>160</v>
      </c>
      <c r="C174" s="2" t="s">
        <v>18</v>
      </c>
      <c r="D174" s="2" t="s">
        <v>14</v>
      </c>
      <c r="E174" s="2" t="s">
        <v>19</v>
      </c>
      <c r="F174" s="2" t="s">
        <v>20</v>
      </c>
      <c r="G174" s="2" t="n">
        <v>2</v>
      </c>
      <c r="H174" s="2" t="n">
        <v>8</v>
      </c>
      <c r="I174" s="2" t="n">
        <v>10</v>
      </c>
      <c r="J174" s="2" t="n">
        <f aca="false">G174*H174*(1-I174/100)</f>
        <v>14.4</v>
      </c>
      <c r="K174" s="2" t="n">
        <f aca="false">G174*4.8</f>
        <v>9.6</v>
      </c>
      <c r="L174" s="2" t="n">
        <f aca="false">J174-K174</f>
        <v>4.8</v>
      </c>
    </row>
    <row r="175" customFormat="false" ht="15" hidden="false" customHeight="false" outlineLevel="0" collapsed="false">
      <c r="A175" s="3" t="n">
        <v>174</v>
      </c>
      <c r="B175" s="3" t="s">
        <v>154</v>
      </c>
      <c r="C175" s="3" t="s">
        <v>28</v>
      </c>
      <c r="D175" s="3" t="s">
        <v>33</v>
      </c>
      <c r="E175" s="3" t="s">
        <v>19</v>
      </c>
      <c r="F175" s="3" t="s">
        <v>34</v>
      </c>
      <c r="G175" s="3" t="n">
        <v>5</v>
      </c>
      <c r="H175" s="3" t="n">
        <v>10</v>
      </c>
      <c r="I175" s="3" t="n">
        <v>0</v>
      </c>
      <c r="J175" s="3" t="n">
        <f aca="false">G175*H175*(1-I175/100)</f>
        <v>50</v>
      </c>
      <c r="K175" s="3" t="n">
        <f aca="false">G175*6</f>
        <v>30</v>
      </c>
      <c r="L175" s="3" t="n">
        <f aca="false">J175-K175</f>
        <v>20</v>
      </c>
    </row>
    <row r="176" customFormat="false" ht="15" hidden="false" customHeight="false" outlineLevel="0" collapsed="false">
      <c r="A176" s="2" t="n">
        <v>175</v>
      </c>
      <c r="B176" s="2" t="s">
        <v>161</v>
      </c>
      <c r="C176" s="2" t="s">
        <v>22</v>
      </c>
      <c r="D176" s="2" t="s">
        <v>23</v>
      </c>
      <c r="E176" s="2" t="s">
        <v>15</v>
      </c>
      <c r="F176" s="2" t="s">
        <v>16</v>
      </c>
      <c r="G176" s="2" t="n">
        <v>5</v>
      </c>
      <c r="H176" s="2" t="n">
        <v>1200</v>
      </c>
      <c r="I176" s="2" t="n">
        <v>20</v>
      </c>
      <c r="J176" s="2" t="n">
        <f aca="false">G176*H176*(1-I176/100)</f>
        <v>4800</v>
      </c>
      <c r="K176" s="2" t="n">
        <f aca="false">G176*720</f>
        <v>3600</v>
      </c>
      <c r="L176" s="2" t="n">
        <f aca="false">J176-K176</f>
        <v>1200</v>
      </c>
    </row>
    <row r="177" customFormat="false" ht="15" hidden="false" customHeight="false" outlineLevel="0" collapsed="false">
      <c r="A177" s="3" t="n">
        <v>176</v>
      </c>
      <c r="B177" s="3" t="s">
        <v>162</v>
      </c>
      <c r="C177" s="3" t="s">
        <v>28</v>
      </c>
      <c r="D177" s="3" t="s">
        <v>14</v>
      </c>
      <c r="E177" s="3" t="s">
        <v>15</v>
      </c>
      <c r="F177" s="3" t="s">
        <v>47</v>
      </c>
      <c r="G177" s="3" t="n">
        <v>16</v>
      </c>
      <c r="H177" s="3" t="n">
        <v>600</v>
      </c>
      <c r="I177" s="3" t="n">
        <v>10</v>
      </c>
      <c r="J177" s="3" t="n">
        <f aca="false">G177*H177*(1-I177/100)</f>
        <v>8640</v>
      </c>
      <c r="K177" s="3" t="n">
        <f aca="false">G177*360</f>
        <v>5760</v>
      </c>
      <c r="L177" s="3" t="n">
        <f aca="false">J177-K177</f>
        <v>2880</v>
      </c>
    </row>
    <row r="178" customFormat="false" ht="15" hidden="false" customHeight="false" outlineLevel="0" collapsed="false">
      <c r="A178" s="2" t="n">
        <v>177</v>
      </c>
      <c r="B178" s="2" t="s">
        <v>155</v>
      </c>
      <c r="C178" s="2" t="s">
        <v>18</v>
      </c>
      <c r="D178" s="2" t="s">
        <v>23</v>
      </c>
      <c r="E178" s="2" t="s">
        <v>29</v>
      </c>
      <c r="F178" s="2" t="s">
        <v>30</v>
      </c>
      <c r="G178" s="2" t="n">
        <v>5</v>
      </c>
      <c r="H178" s="2" t="n">
        <v>25</v>
      </c>
      <c r="I178" s="2" t="n">
        <v>5</v>
      </c>
      <c r="J178" s="2" t="n">
        <f aca="false">G178*H178*(1-I178/100)</f>
        <v>118.75</v>
      </c>
      <c r="K178" s="2" t="n">
        <f aca="false">G178*15</f>
        <v>75</v>
      </c>
      <c r="L178" s="2" t="n">
        <f aca="false">J178-K178</f>
        <v>43.75</v>
      </c>
    </row>
    <row r="179" customFormat="false" ht="15" hidden="false" customHeight="false" outlineLevel="0" collapsed="false">
      <c r="A179" s="3" t="n">
        <v>178</v>
      </c>
      <c r="B179" s="3" t="s">
        <v>163</v>
      </c>
      <c r="C179" s="3" t="s">
        <v>32</v>
      </c>
      <c r="D179" s="3" t="s">
        <v>33</v>
      </c>
      <c r="E179" s="3" t="s">
        <v>15</v>
      </c>
      <c r="F179" s="3" t="s">
        <v>47</v>
      </c>
      <c r="G179" s="3" t="n">
        <v>1</v>
      </c>
      <c r="H179" s="3" t="n">
        <v>600</v>
      </c>
      <c r="I179" s="3" t="n">
        <v>10</v>
      </c>
      <c r="J179" s="3" t="n">
        <f aca="false">G179*H179*(1-I179/100)</f>
        <v>540</v>
      </c>
      <c r="K179" s="3" t="n">
        <f aca="false">G179*360</f>
        <v>360</v>
      </c>
      <c r="L179" s="3" t="n">
        <f aca="false">J179-K179</f>
        <v>180</v>
      </c>
    </row>
    <row r="180" customFormat="false" ht="15" hidden="false" customHeight="false" outlineLevel="0" collapsed="false">
      <c r="A180" s="2" t="n">
        <v>179</v>
      </c>
      <c r="B180" s="2" t="s">
        <v>164</v>
      </c>
      <c r="C180" s="2" t="s">
        <v>28</v>
      </c>
      <c r="D180" s="2" t="s">
        <v>14</v>
      </c>
      <c r="E180" s="2" t="s">
        <v>29</v>
      </c>
      <c r="F180" s="2" t="s">
        <v>46</v>
      </c>
      <c r="G180" s="2" t="n">
        <v>9</v>
      </c>
      <c r="H180" s="2" t="n">
        <v>120</v>
      </c>
      <c r="I180" s="2" t="n">
        <v>20</v>
      </c>
      <c r="J180" s="2" t="n">
        <f aca="false">G180*H180*(1-I180/100)</f>
        <v>864</v>
      </c>
      <c r="K180" s="2" t="n">
        <f aca="false">G180*72</f>
        <v>648</v>
      </c>
      <c r="L180" s="2" t="n">
        <f aca="false">J180-K180</f>
        <v>216</v>
      </c>
    </row>
    <row r="181" customFormat="false" ht="15" hidden="false" customHeight="false" outlineLevel="0" collapsed="false">
      <c r="A181" s="3" t="n">
        <v>180</v>
      </c>
      <c r="B181" s="3" t="s">
        <v>165</v>
      </c>
      <c r="C181" s="3" t="s">
        <v>28</v>
      </c>
      <c r="D181" s="3" t="s">
        <v>26</v>
      </c>
      <c r="E181" s="3" t="s">
        <v>15</v>
      </c>
      <c r="F181" s="3" t="s">
        <v>47</v>
      </c>
      <c r="G181" s="3" t="n">
        <v>1</v>
      </c>
      <c r="H181" s="3" t="n">
        <v>600</v>
      </c>
      <c r="I181" s="3" t="n">
        <v>20</v>
      </c>
      <c r="J181" s="3" t="n">
        <f aca="false">G181*H181*(1-I181/100)</f>
        <v>480</v>
      </c>
      <c r="K181" s="3" t="n">
        <f aca="false">G181*360</f>
        <v>360</v>
      </c>
      <c r="L181" s="3" t="n">
        <f aca="false">J181-K181</f>
        <v>120</v>
      </c>
    </row>
    <row r="182" customFormat="false" ht="15" hidden="false" customHeight="false" outlineLevel="0" collapsed="false">
      <c r="A182" s="2" t="n">
        <v>181</v>
      </c>
      <c r="B182" s="2" t="s">
        <v>166</v>
      </c>
      <c r="C182" s="2" t="s">
        <v>18</v>
      </c>
      <c r="D182" s="2" t="s">
        <v>14</v>
      </c>
      <c r="E182" s="2" t="s">
        <v>19</v>
      </c>
      <c r="F182" s="2" t="s">
        <v>24</v>
      </c>
      <c r="G182" s="2" t="n">
        <v>15</v>
      </c>
      <c r="H182" s="2" t="n">
        <v>15</v>
      </c>
      <c r="I182" s="2" t="n">
        <v>10</v>
      </c>
      <c r="J182" s="2" t="n">
        <f aca="false">G182*H182*(1-I182/100)</f>
        <v>202.5</v>
      </c>
      <c r="K182" s="2" t="n">
        <f aca="false">G182*9</f>
        <v>135</v>
      </c>
      <c r="L182" s="2" t="n">
        <f aca="false">J182-K182</f>
        <v>67.5</v>
      </c>
    </row>
    <row r="183" customFormat="false" ht="15" hidden="false" customHeight="false" outlineLevel="0" collapsed="false">
      <c r="A183" s="3" t="n">
        <v>182</v>
      </c>
      <c r="B183" s="3" t="s">
        <v>167</v>
      </c>
      <c r="C183" s="3" t="s">
        <v>32</v>
      </c>
      <c r="D183" s="3" t="s">
        <v>14</v>
      </c>
      <c r="E183" s="3" t="s">
        <v>15</v>
      </c>
      <c r="F183" s="3" t="s">
        <v>16</v>
      </c>
      <c r="G183" s="3" t="n">
        <v>2</v>
      </c>
      <c r="H183" s="3" t="n">
        <v>1200</v>
      </c>
      <c r="I183" s="3" t="n">
        <v>10</v>
      </c>
      <c r="J183" s="3" t="n">
        <f aca="false">G183*H183*(1-I183/100)</f>
        <v>2160</v>
      </c>
      <c r="K183" s="3" t="n">
        <f aca="false">G183*720</f>
        <v>1440</v>
      </c>
      <c r="L183" s="3" t="n">
        <f aca="false">J183-K183</f>
        <v>720</v>
      </c>
    </row>
    <row r="184" customFormat="false" ht="15" hidden="false" customHeight="false" outlineLevel="0" collapsed="false">
      <c r="A184" s="2" t="n">
        <v>183</v>
      </c>
      <c r="B184" s="2" t="s">
        <v>168</v>
      </c>
      <c r="C184" s="2" t="s">
        <v>28</v>
      </c>
      <c r="D184" s="2" t="s">
        <v>33</v>
      </c>
      <c r="E184" s="2" t="s">
        <v>15</v>
      </c>
      <c r="F184" s="2" t="s">
        <v>36</v>
      </c>
      <c r="G184" s="2" t="n">
        <v>5</v>
      </c>
      <c r="H184" s="2" t="n">
        <v>400</v>
      </c>
      <c r="I184" s="2" t="n">
        <v>15</v>
      </c>
      <c r="J184" s="2" t="n">
        <f aca="false">G184*H184*(1-I184/100)</f>
        <v>1700</v>
      </c>
      <c r="K184" s="2" t="n">
        <f aca="false">G184*240</f>
        <v>1200</v>
      </c>
      <c r="L184" s="2" t="n">
        <f aca="false">J184-K184</f>
        <v>500</v>
      </c>
    </row>
    <row r="185" customFormat="false" ht="15" hidden="false" customHeight="false" outlineLevel="0" collapsed="false">
      <c r="A185" s="3" t="n">
        <v>184</v>
      </c>
      <c r="B185" s="3" t="s">
        <v>166</v>
      </c>
      <c r="C185" s="3" t="s">
        <v>32</v>
      </c>
      <c r="D185" s="3" t="s">
        <v>33</v>
      </c>
      <c r="E185" s="3" t="s">
        <v>19</v>
      </c>
      <c r="F185" s="3" t="s">
        <v>20</v>
      </c>
      <c r="G185" s="3" t="n">
        <v>5</v>
      </c>
      <c r="H185" s="3" t="n">
        <v>8</v>
      </c>
      <c r="I185" s="3" t="n">
        <v>15</v>
      </c>
      <c r="J185" s="3" t="n">
        <f aca="false">G185*H185*(1-I185/100)</f>
        <v>34</v>
      </c>
      <c r="K185" s="3" t="n">
        <f aca="false">G185*4.8</f>
        <v>24</v>
      </c>
      <c r="L185" s="3" t="n">
        <f aca="false">J185-K185</f>
        <v>10</v>
      </c>
    </row>
    <row r="186" customFormat="false" ht="15" hidden="false" customHeight="false" outlineLevel="0" collapsed="false">
      <c r="A186" s="2" t="n">
        <v>185</v>
      </c>
      <c r="B186" s="2" t="s">
        <v>169</v>
      </c>
      <c r="C186" s="2" t="s">
        <v>28</v>
      </c>
      <c r="D186" s="2" t="s">
        <v>26</v>
      </c>
      <c r="E186" s="2" t="s">
        <v>19</v>
      </c>
      <c r="F186" s="2" t="s">
        <v>34</v>
      </c>
      <c r="G186" s="2" t="n">
        <v>9</v>
      </c>
      <c r="H186" s="2" t="n">
        <v>10</v>
      </c>
      <c r="I186" s="2" t="n">
        <v>0</v>
      </c>
      <c r="J186" s="2" t="n">
        <f aca="false">G186*H186*(1-I186/100)</f>
        <v>90</v>
      </c>
      <c r="K186" s="2" t="n">
        <f aca="false">G186*6</f>
        <v>54</v>
      </c>
      <c r="L186" s="2" t="n">
        <f aca="false">J186-K186</f>
        <v>36</v>
      </c>
    </row>
    <row r="187" customFormat="false" ht="15" hidden="false" customHeight="false" outlineLevel="0" collapsed="false">
      <c r="A187" s="3" t="n">
        <v>186</v>
      </c>
      <c r="B187" s="3" t="s">
        <v>170</v>
      </c>
      <c r="C187" s="3" t="s">
        <v>28</v>
      </c>
      <c r="D187" s="3" t="s">
        <v>23</v>
      </c>
      <c r="E187" s="3" t="s">
        <v>29</v>
      </c>
      <c r="F187" s="3" t="s">
        <v>40</v>
      </c>
      <c r="G187" s="3" t="n">
        <v>8</v>
      </c>
      <c r="H187" s="3" t="n">
        <v>60</v>
      </c>
      <c r="I187" s="3" t="n">
        <v>10</v>
      </c>
      <c r="J187" s="3" t="n">
        <f aca="false">G187*H187*(1-I187/100)</f>
        <v>432</v>
      </c>
      <c r="K187" s="3" t="n">
        <f aca="false">G187*36</f>
        <v>288</v>
      </c>
      <c r="L187" s="3" t="n">
        <f aca="false">J187-K187</f>
        <v>144</v>
      </c>
    </row>
    <row r="188" customFormat="false" ht="15" hidden="false" customHeight="false" outlineLevel="0" collapsed="false">
      <c r="A188" s="2" t="n">
        <v>187</v>
      </c>
      <c r="B188" s="2" t="s">
        <v>170</v>
      </c>
      <c r="C188" s="2" t="s">
        <v>18</v>
      </c>
      <c r="D188" s="2" t="s">
        <v>14</v>
      </c>
      <c r="E188" s="2" t="s">
        <v>15</v>
      </c>
      <c r="F188" s="2" t="s">
        <v>47</v>
      </c>
      <c r="G188" s="2" t="n">
        <v>9</v>
      </c>
      <c r="H188" s="2" t="n">
        <v>600</v>
      </c>
      <c r="I188" s="2" t="n">
        <v>5</v>
      </c>
      <c r="J188" s="2" t="n">
        <f aca="false">G188*H188*(1-I188/100)</f>
        <v>5130</v>
      </c>
      <c r="K188" s="2" t="n">
        <f aca="false">G188*360</f>
        <v>3240</v>
      </c>
      <c r="L188" s="2" t="n">
        <f aca="false">J188-K188</f>
        <v>1890</v>
      </c>
    </row>
    <row r="189" customFormat="false" ht="15" hidden="false" customHeight="false" outlineLevel="0" collapsed="false">
      <c r="A189" s="3" t="n">
        <v>188</v>
      </c>
      <c r="B189" s="3" t="s">
        <v>171</v>
      </c>
      <c r="C189" s="3" t="s">
        <v>28</v>
      </c>
      <c r="D189" s="3" t="s">
        <v>26</v>
      </c>
      <c r="E189" s="3" t="s">
        <v>19</v>
      </c>
      <c r="F189" s="3" t="s">
        <v>24</v>
      </c>
      <c r="G189" s="3" t="n">
        <v>20</v>
      </c>
      <c r="H189" s="3" t="n">
        <v>15</v>
      </c>
      <c r="I189" s="3" t="n">
        <v>0</v>
      </c>
      <c r="J189" s="3" t="n">
        <f aca="false">G189*H189*(1-I189/100)</f>
        <v>300</v>
      </c>
      <c r="K189" s="3" t="n">
        <f aca="false">G189*9</f>
        <v>180</v>
      </c>
      <c r="L189" s="3" t="n">
        <f aca="false">J189-K189</f>
        <v>120</v>
      </c>
    </row>
    <row r="190" customFormat="false" ht="15" hidden="false" customHeight="false" outlineLevel="0" collapsed="false">
      <c r="A190" s="2" t="n">
        <v>189</v>
      </c>
      <c r="B190" s="2" t="s">
        <v>172</v>
      </c>
      <c r="C190" s="2" t="s">
        <v>22</v>
      </c>
      <c r="D190" s="2" t="s">
        <v>26</v>
      </c>
      <c r="E190" s="2" t="s">
        <v>15</v>
      </c>
      <c r="F190" s="2" t="s">
        <v>36</v>
      </c>
      <c r="G190" s="2" t="n">
        <v>7</v>
      </c>
      <c r="H190" s="2" t="n">
        <v>400</v>
      </c>
      <c r="I190" s="2" t="n">
        <v>0</v>
      </c>
      <c r="J190" s="2" t="n">
        <f aca="false">G190*H190*(1-I190/100)</f>
        <v>2800</v>
      </c>
      <c r="K190" s="2" t="n">
        <f aca="false">G190*240</f>
        <v>1680</v>
      </c>
      <c r="L190" s="2" t="n">
        <f aca="false">J190-K190</f>
        <v>1120</v>
      </c>
    </row>
    <row r="191" customFormat="false" ht="15" hidden="false" customHeight="false" outlineLevel="0" collapsed="false">
      <c r="A191" s="3" t="n">
        <v>190</v>
      </c>
      <c r="B191" s="3" t="s">
        <v>173</v>
      </c>
      <c r="C191" s="3" t="s">
        <v>13</v>
      </c>
      <c r="D191" s="3" t="s">
        <v>14</v>
      </c>
      <c r="E191" s="3" t="s">
        <v>19</v>
      </c>
      <c r="F191" s="3" t="s">
        <v>24</v>
      </c>
      <c r="G191" s="3" t="n">
        <v>8</v>
      </c>
      <c r="H191" s="3" t="n">
        <v>15</v>
      </c>
      <c r="I191" s="3" t="n">
        <v>10</v>
      </c>
      <c r="J191" s="3" t="n">
        <f aca="false">G191*H191*(1-I191/100)</f>
        <v>108</v>
      </c>
      <c r="K191" s="3" t="n">
        <f aca="false">G191*9</f>
        <v>72</v>
      </c>
      <c r="L191" s="3" t="n">
        <f aca="false">J191-K191</f>
        <v>36</v>
      </c>
    </row>
    <row r="192" customFormat="false" ht="15" hidden="false" customHeight="false" outlineLevel="0" collapsed="false">
      <c r="A192" s="2" t="n">
        <v>191</v>
      </c>
      <c r="B192" s="2" t="s">
        <v>174</v>
      </c>
      <c r="C192" s="2" t="s">
        <v>13</v>
      </c>
      <c r="D192" s="2" t="s">
        <v>14</v>
      </c>
      <c r="E192" s="2" t="s">
        <v>29</v>
      </c>
      <c r="F192" s="2" t="s">
        <v>30</v>
      </c>
      <c r="G192" s="2" t="n">
        <v>5</v>
      </c>
      <c r="H192" s="2" t="n">
        <v>25</v>
      </c>
      <c r="I192" s="2" t="n">
        <v>20</v>
      </c>
      <c r="J192" s="2" t="n">
        <f aca="false">G192*H192*(1-I192/100)</f>
        <v>100</v>
      </c>
      <c r="K192" s="2" t="n">
        <f aca="false">G192*15</f>
        <v>75</v>
      </c>
      <c r="L192" s="2" t="n">
        <f aca="false">J192-K192</f>
        <v>25</v>
      </c>
    </row>
    <row r="193" customFormat="false" ht="15" hidden="false" customHeight="false" outlineLevel="0" collapsed="false">
      <c r="A193" s="3" t="n">
        <v>192</v>
      </c>
      <c r="B193" s="3" t="s">
        <v>175</v>
      </c>
      <c r="C193" s="3" t="s">
        <v>13</v>
      </c>
      <c r="D193" s="3" t="s">
        <v>23</v>
      </c>
      <c r="E193" s="3" t="s">
        <v>19</v>
      </c>
      <c r="F193" s="3" t="s">
        <v>24</v>
      </c>
      <c r="G193" s="3" t="n">
        <v>5</v>
      </c>
      <c r="H193" s="3" t="n">
        <v>15</v>
      </c>
      <c r="I193" s="3" t="n">
        <v>0</v>
      </c>
      <c r="J193" s="3" t="n">
        <f aca="false">G193*H193*(1-I193/100)</f>
        <v>75</v>
      </c>
      <c r="K193" s="3" t="n">
        <f aca="false">G193*9</f>
        <v>45</v>
      </c>
      <c r="L193" s="3" t="n">
        <f aca="false">J193-K193</f>
        <v>30</v>
      </c>
    </row>
    <row r="194" customFormat="false" ht="15" hidden="false" customHeight="false" outlineLevel="0" collapsed="false">
      <c r="A194" s="2" t="n">
        <v>193</v>
      </c>
      <c r="B194" s="2" t="s">
        <v>176</v>
      </c>
      <c r="C194" s="2" t="s">
        <v>18</v>
      </c>
      <c r="D194" s="2" t="s">
        <v>14</v>
      </c>
      <c r="E194" s="2" t="s">
        <v>15</v>
      </c>
      <c r="F194" s="2" t="s">
        <v>16</v>
      </c>
      <c r="G194" s="2" t="n">
        <v>9</v>
      </c>
      <c r="H194" s="2" t="n">
        <v>1200</v>
      </c>
      <c r="I194" s="2" t="n">
        <v>0</v>
      </c>
      <c r="J194" s="2" t="n">
        <f aca="false">G194*H194*(1-I194/100)</f>
        <v>10800</v>
      </c>
      <c r="K194" s="2" t="n">
        <f aca="false">G194*720</f>
        <v>6480</v>
      </c>
      <c r="L194" s="2" t="n">
        <f aca="false">J194-K194</f>
        <v>4320</v>
      </c>
    </row>
    <row r="195" customFormat="false" ht="15" hidden="false" customHeight="false" outlineLevel="0" collapsed="false">
      <c r="A195" s="3" t="n">
        <v>194</v>
      </c>
      <c r="B195" s="3" t="s">
        <v>173</v>
      </c>
      <c r="C195" s="3" t="s">
        <v>28</v>
      </c>
      <c r="D195" s="3" t="s">
        <v>14</v>
      </c>
      <c r="E195" s="3" t="s">
        <v>19</v>
      </c>
      <c r="F195" s="3" t="s">
        <v>24</v>
      </c>
      <c r="G195" s="3" t="n">
        <v>16</v>
      </c>
      <c r="H195" s="3" t="n">
        <v>15</v>
      </c>
      <c r="I195" s="3" t="n">
        <v>15</v>
      </c>
      <c r="J195" s="3" t="n">
        <f aca="false">G195*H195*(1-I195/100)</f>
        <v>204</v>
      </c>
      <c r="K195" s="3" t="n">
        <f aca="false">G195*9</f>
        <v>144</v>
      </c>
      <c r="L195" s="3" t="n">
        <f aca="false">J195-K195</f>
        <v>60</v>
      </c>
    </row>
    <row r="196" customFormat="false" ht="15" hidden="false" customHeight="false" outlineLevel="0" collapsed="false">
      <c r="A196" s="2" t="n">
        <v>195</v>
      </c>
      <c r="B196" s="2" t="s">
        <v>171</v>
      </c>
      <c r="C196" s="2" t="s">
        <v>22</v>
      </c>
      <c r="D196" s="2" t="s">
        <v>23</v>
      </c>
      <c r="E196" s="2" t="s">
        <v>29</v>
      </c>
      <c r="F196" s="2" t="s">
        <v>46</v>
      </c>
      <c r="G196" s="2" t="n">
        <v>8</v>
      </c>
      <c r="H196" s="2" t="n">
        <v>120</v>
      </c>
      <c r="I196" s="2" t="n">
        <v>20</v>
      </c>
      <c r="J196" s="2" t="n">
        <f aca="false">G196*H196*(1-I196/100)</f>
        <v>768</v>
      </c>
      <c r="K196" s="2" t="n">
        <f aca="false">G196*72</f>
        <v>576</v>
      </c>
      <c r="L196" s="2" t="n">
        <f aca="false">J196-K196</f>
        <v>192</v>
      </c>
    </row>
    <row r="197" customFormat="false" ht="15" hidden="false" customHeight="false" outlineLevel="0" collapsed="false">
      <c r="A197" s="3" t="n">
        <v>196</v>
      </c>
      <c r="B197" s="3" t="s">
        <v>167</v>
      </c>
      <c r="C197" s="3" t="s">
        <v>18</v>
      </c>
      <c r="D197" s="3" t="s">
        <v>33</v>
      </c>
      <c r="E197" s="3" t="s">
        <v>29</v>
      </c>
      <c r="F197" s="3" t="s">
        <v>46</v>
      </c>
      <c r="G197" s="3" t="n">
        <v>1</v>
      </c>
      <c r="H197" s="3" t="n">
        <v>120</v>
      </c>
      <c r="I197" s="3" t="n">
        <v>0</v>
      </c>
      <c r="J197" s="3" t="n">
        <f aca="false">G197*H197*(1-I197/100)</f>
        <v>120</v>
      </c>
      <c r="K197" s="3" t="n">
        <f aca="false">G197*72</f>
        <v>72</v>
      </c>
      <c r="L197" s="3" t="n">
        <f aca="false">J197-K197</f>
        <v>48</v>
      </c>
    </row>
    <row r="198" customFormat="false" ht="15" hidden="false" customHeight="false" outlineLevel="0" collapsed="false">
      <c r="A198" s="2" t="n">
        <v>197</v>
      </c>
      <c r="B198" s="2" t="s">
        <v>177</v>
      </c>
      <c r="C198" s="2" t="s">
        <v>32</v>
      </c>
      <c r="D198" s="2" t="s">
        <v>23</v>
      </c>
      <c r="E198" s="2" t="s">
        <v>19</v>
      </c>
      <c r="F198" s="2" t="s">
        <v>24</v>
      </c>
      <c r="G198" s="2" t="n">
        <v>16</v>
      </c>
      <c r="H198" s="2" t="n">
        <v>15</v>
      </c>
      <c r="I198" s="2" t="n">
        <v>15</v>
      </c>
      <c r="J198" s="2" t="n">
        <f aca="false">G198*H198*(1-I198/100)</f>
        <v>204</v>
      </c>
      <c r="K198" s="2" t="n">
        <f aca="false">G198*9</f>
        <v>144</v>
      </c>
      <c r="L198" s="2" t="n">
        <f aca="false">J198-K198</f>
        <v>60</v>
      </c>
    </row>
    <row r="199" customFormat="false" ht="15" hidden="false" customHeight="false" outlineLevel="0" collapsed="false">
      <c r="A199" s="3" t="n">
        <v>198</v>
      </c>
      <c r="B199" s="3" t="s">
        <v>174</v>
      </c>
      <c r="C199" s="3" t="s">
        <v>22</v>
      </c>
      <c r="D199" s="3" t="s">
        <v>23</v>
      </c>
      <c r="E199" s="3" t="s">
        <v>19</v>
      </c>
      <c r="F199" s="3" t="s">
        <v>24</v>
      </c>
      <c r="G199" s="3" t="n">
        <v>3</v>
      </c>
      <c r="H199" s="3" t="n">
        <v>15</v>
      </c>
      <c r="I199" s="3" t="n">
        <v>5</v>
      </c>
      <c r="J199" s="3" t="n">
        <f aca="false">G199*H199*(1-I199/100)</f>
        <v>42.75</v>
      </c>
      <c r="K199" s="3" t="n">
        <f aca="false">G199*9</f>
        <v>27</v>
      </c>
      <c r="L199" s="3" t="n">
        <f aca="false">J199-K199</f>
        <v>15.75</v>
      </c>
    </row>
    <row r="200" customFormat="false" ht="15" hidden="false" customHeight="false" outlineLevel="0" collapsed="false">
      <c r="A200" s="2" t="n">
        <v>199</v>
      </c>
      <c r="B200" s="2" t="s">
        <v>168</v>
      </c>
      <c r="C200" s="2" t="s">
        <v>22</v>
      </c>
      <c r="D200" s="2" t="s">
        <v>33</v>
      </c>
      <c r="E200" s="2" t="s">
        <v>29</v>
      </c>
      <c r="F200" s="2" t="s">
        <v>46</v>
      </c>
      <c r="G200" s="2" t="n">
        <v>17</v>
      </c>
      <c r="H200" s="2" t="n">
        <v>120</v>
      </c>
      <c r="I200" s="2" t="n">
        <v>10</v>
      </c>
      <c r="J200" s="2" t="n">
        <f aca="false">G200*H200*(1-I200/100)</f>
        <v>1836</v>
      </c>
      <c r="K200" s="2" t="n">
        <f aca="false">G200*72</f>
        <v>1224</v>
      </c>
      <c r="L200" s="2" t="n">
        <f aca="false">J200-K200</f>
        <v>612</v>
      </c>
    </row>
    <row r="201" customFormat="false" ht="15" hidden="false" customHeight="false" outlineLevel="0" collapsed="false">
      <c r="A201" s="3" t="n">
        <v>200</v>
      </c>
      <c r="B201" s="3" t="s">
        <v>178</v>
      </c>
      <c r="C201" s="3" t="s">
        <v>13</v>
      </c>
      <c r="D201" s="3" t="s">
        <v>33</v>
      </c>
      <c r="E201" s="3" t="s">
        <v>15</v>
      </c>
      <c r="F201" s="3" t="s">
        <v>36</v>
      </c>
      <c r="G201" s="3" t="n">
        <v>4</v>
      </c>
      <c r="H201" s="3" t="n">
        <v>400</v>
      </c>
      <c r="I201" s="3" t="n">
        <v>20</v>
      </c>
      <c r="J201" s="3" t="n">
        <f aca="false">G201*H201*(1-I201/100)</f>
        <v>1280</v>
      </c>
      <c r="K201" s="3" t="n">
        <f aca="false">G201*240</f>
        <v>960</v>
      </c>
      <c r="L201" s="3" t="n">
        <f aca="false">J201-K201</f>
        <v>320</v>
      </c>
    </row>
    <row r="202" customFormat="false" ht="15" hidden="false" customHeight="false" outlineLevel="0" collapsed="false">
      <c r="A202" s="2" t="n">
        <v>201</v>
      </c>
      <c r="B202" s="2" t="s">
        <v>172</v>
      </c>
      <c r="C202" s="2" t="s">
        <v>18</v>
      </c>
      <c r="D202" s="2" t="s">
        <v>33</v>
      </c>
      <c r="E202" s="2" t="s">
        <v>29</v>
      </c>
      <c r="F202" s="2" t="s">
        <v>30</v>
      </c>
      <c r="G202" s="2" t="n">
        <v>14</v>
      </c>
      <c r="H202" s="2" t="n">
        <v>25</v>
      </c>
      <c r="I202" s="2" t="n">
        <v>10</v>
      </c>
      <c r="J202" s="2" t="n">
        <f aca="false">G202*H202*(1-I202/100)</f>
        <v>315</v>
      </c>
      <c r="K202" s="2" t="n">
        <f aca="false">G202*15</f>
        <v>210</v>
      </c>
      <c r="L202" s="2" t="n">
        <f aca="false">J202-K202</f>
        <v>105</v>
      </c>
    </row>
    <row r="203" customFormat="false" ht="15" hidden="false" customHeight="false" outlineLevel="0" collapsed="false">
      <c r="A203" s="3" t="n">
        <v>202</v>
      </c>
      <c r="B203" s="3" t="s">
        <v>179</v>
      </c>
      <c r="C203" s="3" t="s">
        <v>28</v>
      </c>
      <c r="D203" s="3" t="s">
        <v>23</v>
      </c>
      <c r="E203" s="3" t="s">
        <v>29</v>
      </c>
      <c r="F203" s="3" t="s">
        <v>46</v>
      </c>
      <c r="G203" s="3" t="n">
        <v>4</v>
      </c>
      <c r="H203" s="3" t="n">
        <v>120</v>
      </c>
      <c r="I203" s="3" t="n">
        <v>10</v>
      </c>
      <c r="J203" s="3" t="n">
        <f aca="false">G203*H203*(1-I203/100)</f>
        <v>432</v>
      </c>
      <c r="K203" s="3" t="n">
        <f aca="false">G203*72</f>
        <v>288</v>
      </c>
      <c r="L203" s="3" t="n">
        <f aca="false">J203-K203</f>
        <v>144</v>
      </c>
    </row>
    <row r="204" customFormat="false" ht="15" hidden="false" customHeight="false" outlineLevel="0" collapsed="false">
      <c r="A204" s="2" t="n">
        <v>203</v>
      </c>
      <c r="B204" s="2" t="s">
        <v>177</v>
      </c>
      <c r="C204" s="2" t="s">
        <v>32</v>
      </c>
      <c r="D204" s="2" t="s">
        <v>14</v>
      </c>
      <c r="E204" s="2" t="s">
        <v>29</v>
      </c>
      <c r="F204" s="2" t="s">
        <v>30</v>
      </c>
      <c r="G204" s="2" t="n">
        <v>16</v>
      </c>
      <c r="H204" s="2" t="n">
        <v>25</v>
      </c>
      <c r="I204" s="2" t="n">
        <v>0</v>
      </c>
      <c r="J204" s="2" t="n">
        <f aca="false">G204*H204*(1-I204/100)</f>
        <v>400</v>
      </c>
      <c r="K204" s="2" t="n">
        <f aca="false">G204*15</f>
        <v>240</v>
      </c>
      <c r="L204" s="2" t="n">
        <f aca="false">J204-K204</f>
        <v>160</v>
      </c>
    </row>
    <row r="205" customFormat="false" ht="15" hidden="false" customHeight="false" outlineLevel="0" collapsed="false">
      <c r="A205" s="3" t="n">
        <v>204</v>
      </c>
      <c r="B205" s="3" t="s">
        <v>165</v>
      </c>
      <c r="C205" s="3" t="s">
        <v>32</v>
      </c>
      <c r="D205" s="3" t="s">
        <v>23</v>
      </c>
      <c r="E205" s="3" t="s">
        <v>29</v>
      </c>
      <c r="F205" s="3" t="s">
        <v>30</v>
      </c>
      <c r="G205" s="3" t="n">
        <v>12</v>
      </c>
      <c r="H205" s="3" t="n">
        <v>25</v>
      </c>
      <c r="I205" s="3" t="n">
        <v>5</v>
      </c>
      <c r="J205" s="3" t="n">
        <f aca="false">G205*H205*(1-I205/100)</f>
        <v>285</v>
      </c>
      <c r="K205" s="3" t="n">
        <f aca="false">G205*15</f>
        <v>180</v>
      </c>
      <c r="L205" s="3" t="n">
        <f aca="false">J205-K205</f>
        <v>105</v>
      </c>
    </row>
    <row r="206" customFormat="false" ht="15" hidden="false" customHeight="false" outlineLevel="0" collapsed="false">
      <c r="A206" s="2" t="n">
        <v>205</v>
      </c>
      <c r="B206" s="2" t="s">
        <v>180</v>
      </c>
      <c r="C206" s="2" t="s">
        <v>32</v>
      </c>
      <c r="D206" s="2" t="s">
        <v>23</v>
      </c>
      <c r="E206" s="2" t="s">
        <v>15</v>
      </c>
      <c r="F206" s="2" t="s">
        <v>47</v>
      </c>
      <c r="G206" s="2" t="n">
        <v>12</v>
      </c>
      <c r="H206" s="2" t="n">
        <v>600</v>
      </c>
      <c r="I206" s="2" t="n">
        <v>15</v>
      </c>
      <c r="J206" s="2" t="n">
        <f aca="false">G206*H206*(1-I206/100)</f>
        <v>6120</v>
      </c>
      <c r="K206" s="2" t="n">
        <f aca="false">G206*360</f>
        <v>4320</v>
      </c>
      <c r="L206" s="2" t="n">
        <f aca="false">J206-K206</f>
        <v>1800</v>
      </c>
    </row>
    <row r="207" customFormat="false" ht="15" hidden="false" customHeight="false" outlineLevel="0" collapsed="false">
      <c r="A207" s="3" t="n">
        <v>206</v>
      </c>
      <c r="B207" s="3" t="s">
        <v>181</v>
      </c>
      <c r="C207" s="3" t="s">
        <v>22</v>
      </c>
      <c r="D207" s="3" t="s">
        <v>26</v>
      </c>
      <c r="E207" s="3" t="s">
        <v>19</v>
      </c>
      <c r="F207" s="3" t="s">
        <v>34</v>
      </c>
      <c r="G207" s="3" t="n">
        <v>12</v>
      </c>
      <c r="H207" s="3" t="n">
        <v>10</v>
      </c>
      <c r="I207" s="3" t="n">
        <v>0</v>
      </c>
      <c r="J207" s="3" t="n">
        <f aca="false">G207*H207*(1-I207/100)</f>
        <v>120</v>
      </c>
      <c r="K207" s="3" t="n">
        <f aca="false">G207*6</f>
        <v>72</v>
      </c>
      <c r="L207" s="3" t="n">
        <f aca="false">J207-K207</f>
        <v>48</v>
      </c>
    </row>
    <row r="208" customFormat="false" ht="15" hidden="false" customHeight="false" outlineLevel="0" collapsed="false">
      <c r="A208" s="2" t="n">
        <v>207</v>
      </c>
      <c r="B208" s="2" t="s">
        <v>180</v>
      </c>
      <c r="C208" s="2" t="s">
        <v>32</v>
      </c>
      <c r="D208" s="2" t="s">
        <v>23</v>
      </c>
      <c r="E208" s="2" t="s">
        <v>15</v>
      </c>
      <c r="F208" s="2" t="s">
        <v>36</v>
      </c>
      <c r="G208" s="2" t="n">
        <v>16</v>
      </c>
      <c r="H208" s="2" t="n">
        <v>400</v>
      </c>
      <c r="I208" s="2" t="n">
        <v>5</v>
      </c>
      <c r="J208" s="2" t="n">
        <f aca="false">G208*H208*(1-I208/100)</f>
        <v>6080</v>
      </c>
      <c r="K208" s="2" t="n">
        <f aca="false">G208*240</f>
        <v>3840</v>
      </c>
      <c r="L208" s="2" t="n">
        <f aca="false">J208-K208</f>
        <v>2240</v>
      </c>
    </row>
    <row r="209" customFormat="false" ht="15" hidden="false" customHeight="false" outlineLevel="0" collapsed="false">
      <c r="A209" s="3" t="n">
        <v>208</v>
      </c>
      <c r="B209" s="3" t="s">
        <v>181</v>
      </c>
      <c r="C209" s="3" t="s">
        <v>13</v>
      </c>
      <c r="D209" s="3" t="s">
        <v>33</v>
      </c>
      <c r="E209" s="3" t="s">
        <v>19</v>
      </c>
      <c r="F209" s="3" t="s">
        <v>34</v>
      </c>
      <c r="G209" s="3" t="n">
        <v>4</v>
      </c>
      <c r="H209" s="3" t="n">
        <v>10</v>
      </c>
      <c r="I209" s="3" t="n">
        <v>10</v>
      </c>
      <c r="J209" s="3" t="n">
        <f aca="false">G209*H209*(1-I209/100)</f>
        <v>36</v>
      </c>
      <c r="K209" s="3" t="n">
        <f aca="false">G209*6</f>
        <v>24</v>
      </c>
      <c r="L209" s="3" t="n">
        <f aca="false">J209-K209</f>
        <v>12</v>
      </c>
    </row>
    <row r="210" customFormat="false" ht="15" hidden="false" customHeight="false" outlineLevel="0" collapsed="false">
      <c r="A210" s="2" t="n">
        <v>209</v>
      </c>
      <c r="B210" s="2" t="s">
        <v>182</v>
      </c>
      <c r="C210" s="2" t="s">
        <v>22</v>
      </c>
      <c r="D210" s="2" t="s">
        <v>23</v>
      </c>
      <c r="E210" s="2" t="s">
        <v>19</v>
      </c>
      <c r="F210" s="2" t="s">
        <v>20</v>
      </c>
      <c r="G210" s="2" t="n">
        <v>20</v>
      </c>
      <c r="H210" s="2" t="n">
        <v>8</v>
      </c>
      <c r="I210" s="2" t="n">
        <v>20</v>
      </c>
      <c r="J210" s="2" t="n">
        <f aca="false">G210*H210*(1-I210/100)</f>
        <v>128</v>
      </c>
      <c r="K210" s="2" t="n">
        <f aca="false">G210*4.8</f>
        <v>96</v>
      </c>
      <c r="L210" s="2" t="n">
        <f aca="false">J210-K210</f>
        <v>32</v>
      </c>
    </row>
    <row r="211" customFormat="false" ht="15" hidden="false" customHeight="false" outlineLevel="0" collapsed="false">
      <c r="A211" s="3" t="n">
        <v>210</v>
      </c>
      <c r="B211" s="3" t="s">
        <v>183</v>
      </c>
      <c r="C211" s="3" t="s">
        <v>28</v>
      </c>
      <c r="D211" s="3" t="s">
        <v>14</v>
      </c>
      <c r="E211" s="3" t="s">
        <v>15</v>
      </c>
      <c r="F211" s="3" t="s">
        <v>16</v>
      </c>
      <c r="G211" s="3" t="n">
        <v>9</v>
      </c>
      <c r="H211" s="3" t="n">
        <v>1200</v>
      </c>
      <c r="I211" s="3" t="n">
        <v>10</v>
      </c>
      <c r="J211" s="3" t="n">
        <f aca="false">G211*H211*(1-I211/100)</f>
        <v>9720</v>
      </c>
      <c r="K211" s="3" t="n">
        <f aca="false">G211*720</f>
        <v>6480</v>
      </c>
      <c r="L211" s="3" t="n">
        <f aca="false">J211-K211</f>
        <v>3240</v>
      </c>
    </row>
    <row r="212" customFormat="false" ht="15" hidden="false" customHeight="false" outlineLevel="0" collapsed="false">
      <c r="A212" s="2" t="n">
        <v>211</v>
      </c>
      <c r="B212" s="2" t="s">
        <v>184</v>
      </c>
      <c r="C212" s="2" t="s">
        <v>13</v>
      </c>
      <c r="D212" s="2" t="s">
        <v>14</v>
      </c>
      <c r="E212" s="2" t="s">
        <v>15</v>
      </c>
      <c r="F212" s="2" t="s">
        <v>16</v>
      </c>
      <c r="G212" s="2" t="n">
        <v>19</v>
      </c>
      <c r="H212" s="2" t="n">
        <v>1200</v>
      </c>
      <c r="I212" s="2" t="n">
        <v>15</v>
      </c>
      <c r="J212" s="2" t="n">
        <f aca="false">G212*H212*(1-I212/100)</f>
        <v>19380</v>
      </c>
      <c r="K212" s="2" t="n">
        <f aca="false">G212*720</f>
        <v>13680</v>
      </c>
      <c r="L212" s="2" t="n">
        <f aca="false">J212-K212</f>
        <v>5700</v>
      </c>
    </row>
    <row r="213" customFormat="false" ht="15" hidden="false" customHeight="false" outlineLevel="0" collapsed="false">
      <c r="A213" s="3" t="n">
        <v>212</v>
      </c>
      <c r="B213" s="3" t="s">
        <v>185</v>
      </c>
      <c r="C213" s="3" t="s">
        <v>18</v>
      </c>
      <c r="D213" s="3" t="s">
        <v>33</v>
      </c>
      <c r="E213" s="3" t="s">
        <v>15</v>
      </c>
      <c r="F213" s="3" t="s">
        <v>36</v>
      </c>
      <c r="G213" s="3" t="n">
        <v>17</v>
      </c>
      <c r="H213" s="3" t="n">
        <v>400</v>
      </c>
      <c r="I213" s="3" t="n">
        <v>5</v>
      </c>
      <c r="J213" s="3" t="n">
        <f aca="false">G213*H213*(1-I213/100)</f>
        <v>6460</v>
      </c>
      <c r="K213" s="3" t="n">
        <f aca="false">G213*240</f>
        <v>4080</v>
      </c>
      <c r="L213" s="3" t="n">
        <f aca="false">J213-K213</f>
        <v>2380</v>
      </c>
    </row>
    <row r="214" customFormat="false" ht="15" hidden="false" customHeight="false" outlineLevel="0" collapsed="false">
      <c r="A214" s="2" t="n">
        <v>213</v>
      </c>
      <c r="B214" s="2" t="s">
        <v>186</v>
      </c>
      <c r="C214" s="2" t="s">
        <v>28</v>
      </c>
      <c r="D214" s="2" t="s">
        <v>14</v>
      </c>
      <c r="E214" s="2" t="s">
        <v>29</v>
      </c>
      <c r="F214" s="2" t="s">
        <v>30</v>
      </c>
      <c r="G214" s="2" t="n">
        <v>12</v>
      </c>
      <c r="H214" s="2" t="n">
        <v>25</v>
      </c>
      <c r="I214" s="2" t="n">
        <v>10</v>
      </c>
      <c r="J214" s="2" t="n">
        <f aca="false">G214*H214*(1-I214/100)</f>
        <v>270</v>
      </c>
      <c r="K214" s="2" t="n">
        <f aca="false">G214*15</f>
        <v>180</v>
      </c>
      <c r="L214" s="2" t="n">
        <f aca="false">J214-K214</f>
        <v>90</v>
      </c>
    </row>
    <row r="215" customFormat="false" ht="15" hidden="false" customHeight="false" outlineLevel="0" collapsed="false">
      <c r="A215" s="3" t="n">
        <v>214</v>
      </c>
      <c r="B215" s="3" t="s">
        <v>187</v>
      </c>
      <c r="C215" s="3" t="s">
        <v>32</v>
      </c>
      <c r="D215" s="3" t="s">
        <v>23</v>
      </c>
      <c r="E215" s="3" t="s">
        <v>15</v>
      </c>
      <c r="F215" s="3" t="s">
        <v>16</v>
      </c>
      <c r="G215" s="3" t="n">
        <v>6</v>
      </c>
      <c r="H215" s="3" t="n">
        <v>1200</v>
      </c>
      <c r="I215" s="3" t="n">
        <v>20</v>
      </c>
      <c r="J215" s="3" t="n">
        <f aca="false">G215*H215*(1-I215/100)</f>
        <v>5760</v>
      </c>
      <c r="K215" s="3" t="n">
        <f aca="false">G215*720</f>
        <v>4320</v>
      </c>
      <c r="L215" s="3" t="n">
        <f aca="false">J215-K215</f>
        <v>1440</v>
      </c>
    </row>
    <row r="216" customFormat="false" ht="15" hidden="false" customHeight="false" outlineLevel="0" collapsed="false">
      <c r="A216" s="2" t="n">
        <v>215</v>
      </c>
      <c r="B216" s="2" t="s">
        <v>188</v>
      </c>
      <c r="C216" s="2" t="s">
        <v>18</v>
      </c>
      <c r="D216" s="2" t="s">
        <v>33</v>
      </c>
      <c r="E216" s="2" t="s">
        <v>29</v>
      </c>
      <c r="F216" s="2" t="s">
        <v>46</v>
      </c>
      <c r="G216" s="2" t="n">
        <v>14</v>
      </c>
      <c r="H216" s="2" t="n">
        <v>120</v>
      </c>
      <c r="I216" s="2" t="n">
        <v>15</v>
      </c>
      <c r="J216" s="2" t="n">
        <f aca="false">G216*H216*(1-I216/100)</f>
        <v>1428</v>
      </c>
      <c r="K216" s="2" t="n">
        <f aca="false">G216*72</f>
        <v>1008</v>
      </c>
      <c r="L216" s="2" t="n">
        <f aca="false">J216-K216</f>
        <v>420</v>
      </c>
    </row>
    <row r="217" customFormat="false" ht="15" hidden="false" customHeight="false" outlineLevel="0" collapsed="false">
      <c r="A217" s="3" t="n">
        <v>216</v>
      </c>
      <c r="B217" s="3" t="s">
        <v>189</v>
      </c>
      <c r="C217" s="3" t="s">
        <v>18</v>
      </c>
      <c r="D217" s="3" t="s">
        <v>14</v>
      </c>
      <c r="E217" s="3" t="s">
        <v>29</v>
      </c>
      <c r="F217" s="3" t="s">
        <v>30</v>
      </c>
      <c r="G217" s="3" t="n">
        <v>17</v>
      </c>
      <c r="H217" s="3" t="n">
        <v>25</v>
      </c>
      <c r="I217" s="3" t="n">
        <v>0</v>
      </c>
      <c r="J217" s="3" t="n">
        <f aca="false">G217*H217*(1-I217/100)</f>
        <v>425</v>
      </c>
      <c r="K217" s="3" t="n">
        <f aca="false">G217*15</f>
        <v>255</v>
      </c>
      <c r="L217" s="3" t="n">
        <f aca="false">J217-K217</f>
        <v>170</v>
      </c>
    </row>
    <row r="218" customFormat="false" ht="15" hidden="false" customHeight="false" outlineLevel="0" collapsed="false">
      <c r="A218" s="2" t="n">
        <v>217</v>
      </c>
      <c r="B218" s="2" t="s">
        <v>190</v>
      </c>
      <c r="C218" s="2" t="s">
        <v>28</v>
      </c>
      <c r="D218" s="2" t="s">
        <v>14</v>
      </c>
      <c r="E218" s="2" t="s">
        <v>29</v>
      </c>
      <c r="F218" s="2" t="s">
        <v>46</v>
      </c>
      <c r="G218" s="2" t="n">
        <v>19</v>
      </c>
      <c r="H218" s="2" t="n">
        <v>120</v>
      </c>
      <c r="I218" s="2" t="n">
        <v>15</v>
      </c>
      <c r="J218" s="2" t="n">
        <f aca="false">G218*H218*(1-I218/100)</f>
        <v>1938</v>
      </c>
      <c r="K218" s="2" t="n">
        <f aca="false">G218*72</f>
        <v>1368</v>
      </c>
      <c r="L218" s="2" t="n">
        <f aca="false">J218-K218</f>
        <v>570</v>
      </c>
    </row>
    <row r="219" customFormat="false" ht="15" hidden="false" customHeight="false" outlineLevel="0" collapsed="false">
      <c r="A219" s="3" t="n">
        <v>218</v>
      </c>
      <c r="B219" s="3" t="s">
        <v>182</v>
      </c>
      <c r="C219" s="3" t="s">
        <v>13</v>
      </c>
      <c r="D219" s="3" t="s">
        <v>23</v>
      </c>
      <c r="E219" s="3" t="s">
        <v>15</v>
      </c>
      <c r="F219" s="3" t="s">
        <v>47</v>
      </c>
      <c r="G219" s="3" t="n">
        <v>20</v>
      </c>
      <c r="H219" s="3" t="n">
        <v>600</v>
      </c>
      <c r="I219" s="3" t="n">
        <v>0</v>
      </c>
      <c r="J219" s="3" t="n">
        <f aca="false">G219*H219*(1-I219/100)</f>
        <v>12000</v>
      </c>
      <c r="K219" s="3" t="n">
        <f aca="false">G219*360</f>
        <v>7200</v>
      </c>
      <c r="L219" s="3" t="n">
        <f aca="false">J219-K219</f>
        <v>4800</v>
      </c>
    </row>
    <row r="220" customFormat="false" ht="15" hidden="false" customHeight="false" outlineLevel="0" collapsed="false">
      <c r="A220" s="2" t="n">
        <v>219</v>
      </c>
      <c r="B220" s="2" t="s">
        <v>183</v>
      </c>
      <c r="C220" s="2" t="s">
        <v>32</v>
      </c>
      <c r="D220" s="2" t="s">
        <v>14</v>
      </c>
      <c r="E220" s="2" t="s">
        <v>15</v>
      </c>
      <c r="F220" s="2" t="s">
        <v>16</v>
      </c>
      <c r="G220" s="2" t="n">
        <v>9</v>
      </c>
      <c r="H220" s="2" t="n">
        <v>1200</v>
      </c>
      <c r="I220" s="2" t="n">
        <v>10</v>
      </c>
      <c r="J220" s="2" t="n">
        <f aca="false">G220*H220*(1-I220/100)</f>
        <v>9720</v>
      </c>
      <c r="K220" s="2" t="n">
        <f aca="false">G220*720</f>
        <v>6480</v>
      </c>
      <c r="L220" s="2" t="n">
        <f aca="false">J220-K220</f>
        <v>3240</v>
      </c>
    </row>
    <row r="221" customFormat="false" ht="15" hidden="false" customHeight="false" outlineLevel="0" collapsed="false">
      <c r="A221" s="3" t="n">
        <v>220</v>
      </c>
      <c r="B221" s="3" t="s">
        <v>191</v>
      </c>
      <c r="C221" s="3" t="s">
        <v>18</v>
      </c>
      <c r="D221" s="3" t="s">
        <v>26</v>
      </c>
      <c r="E221" s="3" t="s">
        <v>29</v>
      </c>
      <c r="F221" s="3" t="s">
        <v>46</v>
      </c>
      <c r="G221" s="3" t="n">
        <v>14</v>
      </c>
      <c r="H221" s="3" t="n">
        <v>120</v>
      </c>
      <c r="I221" s="3" t="n">
        <v>5</v>
      </c>
      <c r="J221" s="3" t="n">
        <f aca="false">G221*H221*(1-I221/100)</f>
        <v>1596</v>
      </c>
      <c r="K221" s="3" t="n">
        <f aca="false">G221*72</f>
        <v>1008</v>
      </c>
      <c r="L221" s="3" t="n">
        <f aca="false">J221-K221</f>
        <v>588</v>
      </c>
    </row>
    <row r="222" customFormat="false" ht="15" hidden="false" customHeight="false" outlineLevel="0" collapsed="false">
      <c r="A222" s="2" t="n">
        <v>221</v>
      </c>
      <c r="B222" s="2" t="s">
        <v>185</v>
      </c>
      <c r="C222" s="2" t="s">
        <v>32</v>
      </c>
      <c r="D222" s="2" t="s">
        <v>33</v>
      </c>
      <c r="E222" s="2" t="s">
        <v>19</v>
      </c>
      <c r="F222" s="2" t="s">
        <v>20</v>
      </c>
      <c r="G222" s="2" t="n">
        <v>12</v>
      </c>
      <c r="H222" s="2" t="n">
        <v>8</v>
      </c>
      <c r="I222" s="2" t="n">
        <v>0</v>
      </c>
      <c r="J222" s="2" t="n">
        <f aca="false">G222*H222*(1-I222/100)</f>
        <v>96</v>
      </c>
      <c r="K222" s="2" t="n">
        <f aca="false">G222*4.8</f>
        <v>57.6</v>
      </c>
      <c r="L222" s="2" t="n">
        <f aca="false">J222-K222</f>
        <v>38.4</v>
      </c>
    </row>
    <row r="223" customFormat="false" ht="15" hidden="false" customHeight="false" outlineLevel="0" collapsed="false">
      <c r="A223" s="3" t="n">
        <v>222</v>
      </c>
      <c r="B223" s="3" t="s">
        <v>181</v>
      </c>
      <c r="C223" s="3" t="s">
        <v>18</v>
      </c>
      <c r="D223" s="3" t="s">
        <v>33</v>
      </c>
      <c r="E223" s="3" t="s">
        <v>15</v>
      </c>
      <c r="F223" s="3" t="s">
        <v>47</v>
      </c>
      <c r="G223" s="3" t="n">
        <v>3</v>
      </c>
      <c r="H223" s="3" t="n">
        <v>600</v>
      </c>
      <c r="I223" s="3" t="n">
        <v>10</v>
      </c>
      <c r="J223" s="3" t="n">
        <f aca="false">G223*H223*(1-I223/100)</f>
        <v>1620</v>
      </c>
      <c r="K223" s="3" t="n">
        <f aca="false">G223*360</f>
        <v>1080</v>
      </c>
      <c r="L223" s="3" t="n">
        <f aca="false">J223-K223</f>
        <v>540</v>
      </c>
    </row>
    <row r="224" customFormat="false" ht="15" hidden="false" customHeight="false" outlineLevel="0" collapsed="false">
      <c r="A224" s="2" t="n">
        <v>223</v>
      </c>
      <c r="B224" s="2" t="s">
        <v>192</v>
      </c>
      <c r="C224" s="2" t="s">
        <v>18</v>
      </c>
      <c r="D224" s="2" t="s">
        <v>14</v>
      </c>
      <c r="E224" s="2" t="s">
        <v>19</v>
      </c>
      <c r="F224" s="2" t="s">
        <v>20</v>
      </c>
      <c r="G224" s="2" t="n">
        <v>14</v>
      </c>
      <c r="H224" s="2" t="n">
        <v>8</v>
      </c>
      <c r="I224" s="2" t="n">
        <v>10</v>
      </c>
      <c r="J224" s="2" t="n">
        <f aca="false">G224*H224*(1-I224/100)</f>
        <v>100.8</v>
      </c>
      <c r="K224" s="2" t="n">
        <f aca="false">G224*4.8</f>
        <v>67.2</v>
      </c>
      <c r="L224" s="2" t="n">
        <f aca="false">J224-K224</f>
        <v>33.6</v>
      </c>
    </row>
    <row r="225" customFormat="false" ht="15" hidden="false" customHeight="false" outlineLevel="0" collapsed="false">
      <c r="A225" s="3" t="n">
        <v>224</v>
      </c>
      <c r="B225" s="3" t="s">
        <v>193</v>
      </c>
      <c r="C225" s="3" t="s">
        <v>28</v>
      </c>
      <c r="D225" s="3" t="s">
        <v>14</v>
      </c>
      <c r="E225" s="3" t="s">
        <v>29</v>
      </c>
      <c r="F225" s="3" t="s">
        <v>30</v>
      </c>
      <c r="G225" s="3" t="n">
        <v>20</v>
      </c>
      <c r="H225" s="3" t="n">
        <v>25</v>
      </c>
      <c r="I225" s="3" t="n">
        <v>15</v>
      </c>
      <c r="J225" s="3" t="n">
        <f aca="false">G225*H225*(1-I225/100)</f>
        <v>425</v>
      </c>
      <c r="K225" s="3" t="n">
        <f aca="false">G225*15</f>
        <v>300</v>
      </c>
      <c r="L225" s="3" t="n">
        <f aca="false">J225-K225</f>
        <v>125</v>
      </c>
    </row>
    <row r="226" customFormat="false" ht="15" hidden="false" customHeight="false" outlineLevel="0" collapsed="false">
      <c r="A226" s="2" t="n">
        <v>225</v>
      </c>
      <c r="B226" s="2" t="s">
        <v>181</v>
      </c>
      <c r="C226" s="2" t="s">
        <v>18</v>
      </c>
      <c r="D226" s="2" t="s">
        <v>14</v>
      </c>
      <c r="E226" s="2" t="s">
        <v>29</v>
      </c>
      <c r="F226" s="2" t="s">
        <v>30</v>
      </c>
      <c r="G226" s="2" t="n">
        <v>8</v>
      </c>
      <c r="H226" s="2" t="n">
        <v>25</v>
      </c>
      <c r="I226" s="2" t="n">
        <v>15</v>
      </c>
      <c r="J226" s="2" t="n">
        <f aca="false">G226*H226*(1-I226/100)</f>
        <v>170</v>
      </c>
      <c r="K226" s="2" t="n">
        <f aca="false">G226*15</f>
        <v>120</v>
      </c>
      <c r="L226" s="2" t="n">
        <f aca="false">J226-K226</f>
        <v>50</v>
      </c>
    </row>
    <row r="227" customFormat="false" ht="15" hidden="false" customHeight="false" outlineLevel="0" collapsed="false">
      <c r="A227" s="3" t="n">
        <v>226</v>
      </c>
      <c r="B227" s="3" t="s">
        <v>183</v>
      </c>
      <c r="C227" s="3" t="s">
        <v>13</v>
      </c>
      <c r="D227" s="3" t="s">
        <v>14</v>
      </c>
      <c r="E227" s="3" t="s">
        <v>29</v>
      </c>
      <c r="F227" s="3" t="s">
        <v>40</v>
      </c>
      <c r="G227" s="3" t="n">
        <v>11</v>
      </c>
      <c r="H227" s="3" t="n">
        <v>60</v>
      </c>
      <c r="I227" s="3" t="n">
        <v>5</v>
      </c>
      <c r="J227" s="3" t="n">
        <f aca="false">G227*H227*(1-I227/100)</f>
        <v>627</v>
      </c>
      <c r="K227" s="3" t="n">
        <f aca="false">G227*36</f>
        <v>396</v>
      </c>
      <c r="L227" s="3" t="n">
        <f aca="false">J227-K227</f>
        <v>231</v>
      </c>
    </row>
    <row r="228" customFormat="false" ht="15" hidden="false" customHeight="false" outlineLevel="0" collapsed="false">
      <c r="A228" s="2" t="n">
        <v>227</v>
      </c>
      <c r="B228" s="2" t="s">
        <v>190</v>
      </c>
      <c r="C228" s="2" t="s">
        <v>13</v>
      </c>
      <c r="D228" s="2" t="s">
        <v>23</v>
      </c>
      <c r="E228" s="2" t="s">
        <v>19</v>
      </c>
      <c r="F228" s="2" t="s">
        <v>20</v>
      </c>
      <c r="G228" s="2" t="n">
        <v>4</v>
      </c>
      <c r="H228" s="2" t="n">
        <v>8</v>
      </c>
      <c r="I228" s="2" t="n">
        <v>20</v>
      </c>
      <c r="J228" s="2" t="n">
        <f aca="false">G228*H228*(1-I228/100)</f>
        <v>25.6</v>
      </c>
      <c r="K228" s="2" t="n">
        <f aca="false">G228*4.8</f>
        <v>19.2</v>
      </c>
      <c r="L228" s="2" t="n">
        <f aca="false">J228-K228</f>
        <v>6.4</v>
      </c>
    </row>
    <row r="229" customFormat="false" ht="15" hidden="false" customHeight="false" outlineLevel="0" collapsed="false">
      <c r="A229" s="3" t="n">
        <v>228</v>
      </c>
      <c r="B229" s="3" t="s">
        <v>192</v>
      </c>
      <c r="C229" s="3" t="s">
        <v>13</v>
      </c>
      <c r="D229" s="3" t="s">
        <v>23</v>
      </c>
      <c r="E229" s="3" t="s">
        <v>29</v>
      </c>
      <c r="F229" s="3" t="s">
        <v>46</v>
      </c>
      <c r="G229" s="3" t="n">
        <v>5</v>
      </c>
      <c r="H229" s="3" t="n">
        <v>120</v>
      </c>
      <c r="I229" s="3" t="n">
        <v>5</v>
      </c>
      <c r="J229" s="3" t="n">
        <f aca="false">G229*H229*(1-I229/100)</f>
        <v>570</v>
      </c>
      <c r="K229" s="3" t="n">
        <f aca="false">G229*72</f>
        <v>360</v>
      </c>
      <c r="L229" s="3" t="n">
        <f aca="false">J229-K229</f>
        <v>210</v>
      </c>
    </row>
    <row r="230" customFormat="false" ht="15" hidden="false" customHeight="false" outlineLevel="0" collapsed="false">
      <c r="A230" s="2" t="n">
        <v>229</v>
      </c>
      <c r="B230" s="2" t="s">
        <v>194</v>
      </c>
      <c r="C230" s="2" t="s">
        <v>32</v>
      </c>
      <c r="D230" s="2" t="s">
        <v>26</v>
      </c>
      <c r="E230" s="2" t="s">
        <v>15</v>
      </c>
      <c r="F230" s="2" t="s">
        <v>16</v>
      </c>
      <c r="G230" s="2" t="n">
        <v>20</v>
      </c>
      <c r="H230" s="2" t="n">
        <v>1200</v>
      </c>
      <c r="I230" s="2" t="n">
        <v>5</v>
      </c>
      <c r="J230" s="2" t="n">
        <f aca="false">G230*H230*(1-I230/100)</f>
        <v>22800</v>
      </c>
      <c r="K230" s="2" t="n">
        <f aca="false">G230*720</f>
        <v>14400</v>
      </c>
      <c r="L230" s="2" t="n">
        <f aca="false">J230-K230</f>
        <v>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4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8"/>
  </cols>
  <sheetData>
    <row r="1" customFormat="false" ht="15" hidden="false" customHeight="false" outlineLevel="0" collapsed="false">
      <c r="A1" s="4" t="s">
        <v>195</v>
      </c>
      <c r="D1" s="5" t="s">
        <v>196</v>
      </c>
      <c r="I1" s="5" t="s">
        <v>197</v>
      </c>
    </row>
    <row r="2" customFormat="false" ht="15" hidden="false" customHeight="false" outlineLevel="0" collapsed="false">
      <c r="D2" s="6" t="s">
        <v>4</v>
      </c>
      <c r="E2" s="6" t="s">
        <v>9</v>
      </c>
      <c r="F2" s="6" t="s">
        <v>11</v>
      </c>
      <c r="G2" s="6" t="s">
        <v>198</v>
      </c>
      <c r="I2" s="6" t="s">
        <v>2</v>
      </c>
      <c r="J2" s="6" t="s">
        <v>9</v>
      </c>
      <c r="K2" s="6" t="s">
        <v>199</v>
      </c>
      <c r="L2" s="6" t="s">
        <v>200</v>
      </c>
      <c r="M2" s="6" t="s">
        <v>201</v>
      </c>
    </row>
    <row r="3" customFormat="false" ht="15" hidden="false" customHeight="false" outlineLevel="0" collapsed="false">
      <c r="A3" s="7" t="s">
        <v>202</v>
      </c>
      <c r="B3" s="8" t="n">
        <f aca="false">COUNTA(Sales_Data!A2:A230)</f>
        <v>229</v>
      </c>
      <c r="D3" s="7" t="s">
        <v>15</v>
      </c>
      <c r="E3" s="8" t="n">
        <f aca="false">SUMIF(Sales_Data!E2:E230,D3,Sales_Data!J2:J230)</f>
        <v>594990</v>
      </c>
      <c r="F3" s="8" t="n">
        <f aca="false">SUMIF(Sales_Data!E2:E230,D3,Sales_Data!L2:L230)</f>
        <v>201870</v>
      </c>
      <c r="G3" s="8" t="n">
        <f aca="false">E3/$B$4</f>
        <v>0.906157650322659</v>
      </c>
      <c r="I3" s="7" t="s">
        <v>32</v>
      </c>
      <c r="J3" s="8" t="n">
        <f aca="false">SUMIF(Sales_Data!C2:C230,I3,Sales_Data!J2:J230)</f>
        <v>157613.8</v>
      </c>
      <c r="K3" s="8" t="n">
        <f aca="false">COUNTIF(Sales_Data!C2:C230,I3)</f>
        <v>45</v>
      </c>
      <c r="L3" s="8" t="n">
        <f aca="false">J3/K3</f>
        <v>3502.52888888889</v>
      </c>
      <c r="M3" s="8" t="n">
        <f aca="false">RANK(J3,J3:J7,0)</f>
        <v>2</v>
      </c>
    </row>
    <row r="4" customFormat="false" ht="15" hidden="false" customHeight="false" outlineLevel="0" collapsed="false">
      <c r="A4" s="7" t="s">
        <v>203</v>
      </c>
      <c r="B4" s="8" t="n">
        <f aca="false">SUM(Sales_Data!J2:J230)</f>
        <v>656607.6</v>
      </c>
      <c r="D4" s="7" t="s">
        <v>29</v>
      </c>
      <c r="E4" s="8" t="n">
        <f aca="false">SUMIF(Sales_Data!E2:E230,D4,Sales_Data!J2:J230)</f>
        <v>53895.5</v>
      </c>
      <c r="F4" s="8" t="n">
        <f aca="false">SUMIF(Sales_Data!E2:E230,D4,Sales_Data!L2:L230)</f>
        <v>17385.5</v>
      </c>
      <c r="G4" s="8" t="n">
        <f aca="false">E4/$B$4</f>
        <v>0.0820817486730279</v>
      </c>
      <c r="I4" s="7" t="s">
        <v>13</v>
      </c>
      <c r="J4" s="8" t="n">
        <f aca="false">SUMIF(Sales_Data!C2:C230,I4,Sales_Data!J2:J230)</f>
        <v>219516.2</v>
      </c>
      <c r="K4" s="8" t="n">
        <f aca="false">COUNTIF(Sales_Data!C2:C230,I4)</f>
        <v>46</v>
      </c>
      <c r="L4" s="8" t="n">
        <f aca="false">J4/K4</f>
        <v>4772.09130434783</v>
      </c>
      <c r="M4" s="8" t="n">
        <f aca="false">RANK(J4,J3:J7,0)</f>
        <v>1</v>
      </c>
    </row>
    <row r="5" customFormat="false" ht="15" hidden="false" customHeight="false" outlineLevel="0" collapsed="false">
      <c r="A5" s="7" t="s">
        <v>204</v>
      </c>
      <c r="B5" s="8" t="n">
        <f aca="false">SUM(Sales_Data!K2:K230)</f>
        <v>434722.8</v>
      </c>
      <c r="D5" s="7" t="s">
        <v>19</v>
      </c>
      <c r="E5" s="8" t="n">
        <f aca="false">SUMIF(Sales_Data!E2:E230,D5,Sales_Data!J2:J230)</f>
        <v>7722.1</v>
      </c>
      <c r="F5" s="8" t="n">
        <f aca="false">SUMIF(Sales_Data!E2:E230,D5,Sales_Data!L2:L230)</f>
        <v>2629.3</v>
      </c>
      <c r="G5" s="8" t="n">
        <f aca="false">E5/$B$4</f>
        <v>0.0117606010043137</v>
      </c>
      <c r="I5" s="7" t="s">
        <v>28</v>
      </c>
      <c r="J5" s="8" t="n">
        <f aca="false">SUMIF(Sales_Data!C2:C230,I5,Sales_Data!J2:J230)</f>
        <v>111148.75</v>
      </c>
      <c r="K5" s="8" t="n">
        <f aca="false">COUNTIF(Sales_Data!C2:C230,I5)</f>
        <v>48</v>
      </c>
      <c r="L5" s="8" t="n">
        <f aca="false">J5/K5</f>
        <v>2315.59895833333</v>
      </c>
      <c r="M5" s="8" t="n">
        <f aca="false">RANK(J5,J3:J7,0)</f>
        <v>3</v>
      </c>
    </row>
    <row r="6" customFormat="false" ht="15" hidden="false" customHeight="false" outlineLevel="0" collapsed="false">
      <c r="A6" s="7" t="s">
        <v>205</v>
      </c>
      <c r="B6" s="8" t="n">
        <f aca="false">SUM(Sales_Data!L2:L230)</f>
        <v>221884.8</v>
      </c>
      <c r="I6" s="7" t="s">
        <v>18</v>
      </c>
      <c r="J6" s="8" t="n">
        <f aca="false">SUMIF(Sales_Data!C2:C230,I6,Sales_Data!J2:J230)</f>
        <v>97822.65</v>
      </c>
      <c r="K6" s="8" t="n">
        <f aca="false">COUNTIF(Sales_Data!C2:C230,I6)</f>
        <v>53</v>
      </c>
      <c r="L6" s="8" t="n">
        <f aca="false">J6/K6</f>
        <v>1845.71037735849</v>
      </c>
      <c r="M6" s="8" t="n">
        <f aca="false">RANK(J6,J3:J7,0)</f>
        <v>4</v>
      </c>
    </row>
    <row r="7" customFormat="false" ht="15" hidden="false" customHeight="false" outlineLevel="0" collapsed="false">
      <c r="A7" s="7" t="s">
        <v>206</v>
      </c>
      <c r="B7" s="8" t="n">
        <f aca="false">B4/B3</f>
        <v>2867.28209606987</v>
      </c>
      <c r="I7" s="7" t="s">
        <v>22</v>
      </c>
      <c r="J7" s="8" t="n">
        <f aca="false">SUMIF(Sales_Data!C2:C230,I7,Sales_Data!J2:J230)</f>
        <v>70506.2</v>
      </c>
      <c r="K7" s="8" t="n">
        <f aca="false">COUNTIF(Sales_Data!C2:C230,I7)</f>
        <v>37</v>
      </c>
      <c r="L7" s="8" t="n">
        <f aca="false">J7/K7</f>
        <v>1905.57297297297</v>
      </c>
      <c r="M7" s="8" t="n">
        <f aca="false">RANK(J7,J3:J7,0)</f>
        <v>5</v>
      </c>
    </row>
    <row r="8" customFormat="false" ht="15" hidden="false" customHeight="false" outlineLevel="0" collapsed="false">
      <c r="A8" s="7" t="s">
        <v>207</v>
      </c>
      <c r="B8" s="8" t="n">
        <f aca="false">AVERAGEIF(Sales_Data!I2:I230,"&gt;0",Sales_Data!I2:I230)</f>
        <v>12.4450549450549</v>
      </c>
    </row>
    <row r="9" customFormat="false" ht="15" hidden="false" customHeight="false" outlineLevel="0" collapsed="false">
      <c r="A9" s="7" t="s">
        <v>208</v>
      </c>
      <c r="B9" s="8" t="n">
        <f aca="false">B6/B4</f>
        <v>0.337926030706925</v>
      </c>
    </row>
    <row r="12" customFormat="false" ht="15" hidden="false" customHeight="false" outlineLevel="0" collapsed="false">
      <c r="A12" s="5" t="s">
        <v>209</v>
      </c>
    </row>
    <row r="13" customFormat="false" ht="15" hidden="false" customHeight="false" outlineLevel="0" collapsed="false">
      <c r="A13" s="6" t="s">
        <v>210</v>
      </c>
      <c r="B13" s="6" t="s">
        <v>9</v>
      </c>
      <c r="C13" s="6" t="s">
        <v>11</v>
      </c>
      <c r="D13" s="6" t="s">
        <v>211</v>
      </c>
    </row>
    <row r="14" customFormat="false" ht="15" hidden="false" customHeight="false" outlineLevel="0" collapsed="false">
      <c r="A14" s="7" t="s">
        <v>212</v>
      </c>
      <c r="B14" s="8" t="n">
        <f aca="false">SUMPRODUCT((TEXT(Sales_Data!B2:B230,"yyyy-mm")=A14)*Sales_Data!J2:J230)</f>
        <v>84277.15</v>
      </c>
      <c r="C14" s="8" t="n">
        <f aca="false">SUMPRODUCT((TEXT(Sales_Data!B2:B230,"yyyy-mm")=A14)*Sales_Data!L2:L230)</f>
        <v>28318.75</v>
      </c>
      <c r="D14" s="7" t="s">
        <v>213</v>
      </c>
    </row>
    <row r="15" customFormat="false" ht="15" hidden="false" customHeight="false" outlineLevel="0" collapsed="false">
      <c r="A15" s="7" t="s">
        <v>214</v>
      </c>
      <c r="B15" s="8" t="n">
        <f aca="false">SUMPRODUCT((TEXT(Sales_Data!B2:B230,"yyyy-mm")=A15)*Sales_Data!J2:J230)</f>
        <v>81581.15</v>
      </c>
      <c r="C15" s="8" t="n">
        <f aca="false">SUMPRODUCT((TEXT(Sales_Data!B2:B230,"yyyy-mm")=A15)*Sales_Data!L2:L230)</f>
        <v>29013.95</v>
      </c>
      <c r="D15" s="8" t="n">
        <f aca="false">(B15-B14)/B14</f>
        <v>-0.0319896911559064</v>
      </c>
    </row>
    <row r="16" customFormat="false" ht="15" hidden="false" customHeight="false" outlineLevel="0" collapsed="false">
      <c r="A16" s="7" t="s">
        <v>215</v>
      </c>
      <c r="B16" s="8" t="n">
        <f aca="false">SUMPRODUCT((TEXT(Sales_Data!B2:B230,"yyyy-mm")=A16)*Sales_Data!J2:J230)</f>
        <v>31298.5</v>
      </c>
      <c r="C16" s="8" t="n">
        <f aca="false">SUMPRODUCT((TEXT(Sales_Data!B2:B230,"yyyy-mm")=A16)*Sales_Data!L2:L230)</f>
        <v>11015.5</v>
      </c>
      <c r="D16" s="8" t="n">
        <f aca="false">(B16-B15)/B15</f>
        <v>-0.616351326256127</v>
      </c>
    </row>
    <row r="17" customFormat="false" ht="15" hidden="false" customHeight="false" outlineLevel="0" collapsed="false">
      <c r="A17" s="7" t="s">
        <v>216</v>
      </c>
      <c r="B17" s="8" t="n">
        <f aca="false">SUMPRODUCT((TEXT(Sales_Data!B2:B230,"yyyy-mm")=A17)*Sales_Data!J2:J230)</f>
        <v>36888</v>
      </c>
      <c r="C17" s="8" t="n">
        <f aca="false">SUMPRODUCT((TEXT(Sales_Data!B2:B230,"yyyy-mm")=A17)*Sales_Data!L2:L230)</f>
        <v>13870.2</v>
      </c>
      <c r="D17" s="8" t="n">
        <f aca="false">(B17-B16)/B16</f>
        <v>0.17858683323482</v>
      </c>
    </row>
    <row r="18" customFormat="false" ht="15" hidden="false" customHeight="false" outlineLevel="0" collapsed="false">
      <c r="A18" s="7" t="s">
        <v>217</v>
      </c>
      <c r="B18" s="8" t="n">
        <f aca="false">SUMPRODUCT((TEXT(Sales_Data!B2:B230,"yyyy-mm")=A18)*Sales_Data!J2:J230)</f>
        <v>73660.2</v>
      </c>
      <c r="C18" s="8" t="n">
        <f aca="false">SUMPRODUCT((TEXT(Sales_Data!B2:B230,"yyyy-mm")=A18)*Sales_Data!L2:L230)</f>
        <v>22306.8</v>
      </c>
      <c r="D18" s="8" t="n">
        <f aca="false">(B18-B17)/B17</f>
        <v>0.996860767729343</v>
      </c>
    </row>
    <row r="19" customFormat="false" ht="15" hidden="false" customHeight="false" outlineLevel="0" collapsed="false">
      <c r="A19" s="7" t="s">
        <v>218</v>
      </c>
      <c r="B19" s="8" t="n">
        <f aca="false">SUMPRODUCT((TEXT(Sales_Data!B2:B230,"yyyy-mm")=A19)*Sales_Data!J2:J230)</f>
        <v>54268.65</v>
      </c>
      <c r="C19" s="8" t="n">
        <f aca="false">SUMPRODUCT((TEXT(Sales_Data!B2:B230,"yyyy-mm")=A19)*Sales_Data!L2:L230)</f>
        <v>20541.45</v>
      </c>
      <c r="D19" s="8" t="n">
        <f aca="false">(B19-B18)/B18</f>
        <v>-0.263256819829433</v>
      </c>
    </row>
    <row r="20" customFormat="false" ht="15" hidden="false" customHeight="false" outlineLevel="0" collapsed="false">
      <c r="A20" s="7" t="s">
        <v>219</v>
      </c>
      <c r="B20" s="8" t="n">
        <f aca="false">SUMPRODUCT((TEXT(Sales_Data!B2:B230,"yyyy-mm")=A20)*Sales_Data!J2:J230)</f>
        <v>50175.1</v>
      </c>
      <c r="C20" s="8" t="n">
        <f aca="false">SUMPRODUCT((TEXT(Sales_Data!B2:B230,"yyyy-mm")=A20)*Sales_Data!L2:L230)</f>
        <v>17213.5</v>
      </c>
      <c r="D20" s="8" t="n">
        <f aca="false">(B20-B19)/B19</f>
        <v>-0.075431211205733</v>
      </c>
    </row>
    <row r="21" customFormat="false" ht="15" hidden="false" customHeight="false" outlineLevel="0" collapsed="false">
      <c r="A21" s="7" t="s">
        <v>220</v>
      </c>
      <c r="B21" s="8" t="n">
        <f aca="false">SUMPRODUCT((TEXT(Sales_Data!B2:B230,"yyyy-mm")=A21)*Sales_Data!J2:J230)</f>
        <v>25859.1</v>
      </c>
      <c r="C21" s="8" t="n">
        <f aca="false">SUMPRODUCT((TEXT(Sales_Data!B2:B230,"yyyy-mm")=A21)*Sales_Data!L2:L230)</f>
        <v>7814.7</v>
      </c>
      <c r="D21" s="8" t="n">
        <f aca="false">(B21-B20)/B20</f>
        <v>-0.48462285077658</v>
      </c>
    </row>
    <row r="22" customFormat="false" ht="15" hidden="false" customHeight="false" outlineLevel="0" collapsed="false">
      <c r="A22" s="7" t="s">
        <v>221</v>
      </c>
      <c r="B22" s="8" t="n">
        <f aca="false">SUMPRODUCT((TEXT(Sales_Data!B2:B230,"yyyy-mm")=A22)*Sales_Data!J2:J230)</f>
        <v>17162.75</v>
      </c>
      <c r="C22" s="8" t="n">
        <f aca="false">SUMPRODUCT((TEXT(Sales_Data!B2:B230,"yyyy-mm")=A22)*Sales_Data!L2:L230)</f>
        <v>5577.35</v>
      </c>
      <c r="D22" s="8" t="n">
        <f aca="false">(B22-B21)/B21</f>
        <v>-0.336297473616638</v>
      </c>
    </row>
    <row r="23" customFormat="false" ht="15" hidden="false" customHeight="false" outlineLevel="0" collapsed="false">
      <c r="A23" s="7" t="s">
        <v>222</v>
      </c>
      <c r="B23" s="8" t="n">
        <f aca="false">SUMPRODUCT((TEXT(Sales_Data!B2:B230,"yyyy-mm")=A23)*Sales_Data!J2:J230)</f>
        <v>63523.35</v>
      </c>
      <c r="C23" s="8" t="n">
        <f aca="false">SUMPRODUCT((TEXT(Sales_Data!B2:B230,"yyyy-mm")=A23)*Sales_Data!L2:L230)</f>
        <v>18847.95</v>
      </c>
      <c r="D23" s="8" t="n">
        <f aca="false">(B23-B22)/B22</f>
        <v>2.70123377663836</v>
      </c>
    </row>
    <row r="24" customFormat="false" ht="15" hidden="false" customHeight="false" outlineLevel="0" collapsed="false">
      <c r="A24" s="7" t="s">
        <v>223</v>
      </c>
      <c r="B24" s="8" t="n">
        <f aca="false">SUMPRODUCT((TEXT(Sales_Data!B2:B230,"yyyy-mm")=A24)*Sales_Data!J2:J230)</f>
        <v>30298.25</v>
      </c>
      <c r="C24" s="8" t="n">
        <f aca="false">SUMPRODUCT((TEXT(Sales_Data!B2:B230,"yyyy-mm")=A24)*Sales_Data!L2:L230)</f>
        <v>10960.25</v>
      </c>
      <c r="D24" s="8" t="n">
        <f aca="false">(B24-B23)/B23</f>
        <v>-0.523037591688725</v>
      </c>
    </row>
    <row r="25" customFormat="false" ht="15" hidden="false" customHeight="false" outlineLevel="0" collapsed="false">
      <c r="A25" s="7" t="s">
        <v>224</v>
      </c>
      <c r="B25" s="8" t="n">
        <f aca="false">SUMPRODUCT((TEXT(Sales_Data!B2:B230,"yyyy-mm")=A25)*Sales_Data!J2:J230)</f>
        <v>107615.4</v>
      </c>
      <c r="C25" s="8" t="n">
        <f aca="false">SUMPRODUCT((TEXT(Sales_Data!B2:B230,"yyyy-mm")=A25)*Sales_Data!L2:L230)</f>
        <v>36404.4</v>
      </c>
      <c r="D25" s="8" t="n">
        <f aca="false">(B25-B24)/B24</f>
        <v>2.55186850725702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4" t="s">
        <v>225</v>
      </c>
    </row>
    <row r="2" customFormat="false" ht="15" hidden="false" customHeight="false" outlineLevel="0" collapsed="false">
      <c r="A2" s="1" t="s">
        <v>226</v>
      </c>
      <c r="B2" s="6" t="s">
        <v>15</v>
      </c>
      <c r="C2" s="6" t="s">
        <v>29</v>
      </c>
      <c r="D2" s="6" t="s">
        <v>19</v>
      </c>
      <c r="E2" s="9" t="s">
        <v>227</v>
      </c>
    </row>
    <row r="3" customFormat="false" ht="15" hidden="false" customHeight="false" outlineLevel="0" collapsed="false">
      <c r="A3" s="10" t="s">
        <v>14</v>
      </c>
      <c r="B3" s="8" t="n">
        <f aca="false">SUMPRODUCT((Sales_Data!D2:D230=A3)*(Sales_Data!E2:E230="Electronics")*Sales_Data!J2:J230)</f>
        <v>195690</v>
      </c>
      <c r="C3" s="8" t="n">
        <f aca="false">SUMPRODUCT((Sales_Data!D2:D230=A3)*(Sales_Data!E2:E230="Clothing")*Sales_Data!J2:J230)</f>
        <v>20598</v>
      </c>
      <c r="D3" s="8" t="n">
        <f aca="false">SUMPRODUCT((Sales_Data!D2:D230=A3)*(Sales_Data!E2:E230="Food")*Sales_Data!J2:J230)</f>
        <v>1704.8</v>
      </c>
      <c r="E3" s="11" t="n">
        <f aca="false">SUM(B3:D3)</f>
        <v>217992.8</v>
      </c>
    </row>
    <row r="4" customFormat="false" ht="15" hidden="false" customHeight="false" outlineLevel="0" collapsed="false">
      <c r="A4" s="10" t="s">
        <v>26</v>
      </c>
      <c r="B4" s="8" t="n">
        <f aca="false">SUMPRODUCT((Sales_Data!D2:D230=A4)*(Sales_Data!E2:E230="Electronics")*Sales_Data!J2:J230)</f>
        <v>141740</v>
      </c>
      <c r="C4" s="8" t="n">
        <f aca="false">SUMPRODUCT((Sales_Data!D2:D230=A4)*(Sales_Data!E2:E230="Clothing")*Sales_Data!J2:J230)</f>
        <v>9855.25</v>
      </c>
      <c r="D4" s="8" t="n">
        <f aca="false">SUMPRODUCT((Sales_Data!D2:D230=A4)*(Sales_Data!E2:E230="Food")*Sales_Data!J2:J230)</f>
        <v>1806.85</v>
      </c>
      <c r="E4" s="11" t="n">
        <f aca="false">SUM(B4:D4)</f>
        <v>153402.1</v>
      </c>
    </row>
    <row r="5" customFormat="false" ht="15" hidden="false" customHeight="false" outlineLevel="0" collapsed="false">
      <c r="A5" s="10" t="s">
        <v>23</v>
      </c>
      <c r="B5" s="8" t="n">
        <f aca="false">SUMPRODUCT((Sales_Data!D2:D230=A5)*(Sales_Data!E2:E230="Electronics")*Sales_Data!J2:J230)</f>
        <v>122610</v>
      </c>
      <c r="C5" s="8" t="n">
        <f aca="false">SUMPRODUCT((Sales_Data!D2:D230=A5)*(Sales_Data!E2:E230="Clothing")*Sales_Data!J2:J230)</f>
        <v>9706</v>
      </c>
      <c r="D5" s="8" t="n">
        <f aca="false">SUMPRODUCT((Sales_Data!D2:D230=A5)*(Sales_Data!E2:E230="Food")*Sales_Data!J2:J230)</f>
        <v>2876</v>
      </c>
      <c r="E5" s="11" t="n">
        <f aca="false">SUM(B5:D5)</f>
        <v>135192</v>
      </c>
    </row>
    <row r="6" customFormat="false" ht="15" hidden="false" customHeight="false" outlineLevel="0" collapsed="false">
      <c r="A6" s="10" t="s">
        <v>33</v>
      </c>
      <c r="B6" s="8" t="n">
        <f aca="false">SUMPRODUCT((Sales_Data!D2:D230=A6)*(Sales_Data!E2:E230="Electronics")*Sales_Data!J2:J230)</f>
        <v>134950</v>
      </c>
      <c r="C6" s="8" t="n">
        <f aca="false">SUMPRODUCT((Sales_Data!D2:D230=A6)*(Sales_Data!E2:E230="Clothing")*Sales_Data!J2:J230)</f>
        <v>13736.25</v>
      </c>
      <c r="D6" s="8" t="n">
        <f aca="false">SUMPRODUCT((Sales_Data!D2:D230=A6)*(Sales_Data!E2:E230="Food")*Sales_Data!J2:J230)</f>
        <v>1334.45</v>
      </c>
      <c r="E6" s="11" t="n">
        <f aca="false">SUM(B6:D6)</f>
        <v>150020.7</v>
      </c>
    </row>
    <row r="7" customFormat="false" ht="15" hidden="false" customHeight="false" outlineLevel="0" collapsed="false">
      <c r="A7" s="10" t="s">
        <v>228</v>
      </c>
      <c r="B7" s="11" t="n">
        <f aca="false">SUM(B3:B6)</f>
        <v>594990</v>
      </c>
      <c r="C7" s="11" t="n">
        <f aca="false">SUM(C3:C6)</f>
        <v>53895.5</v>
      </c>
      <c r="D7" s="11" t="n">
        <f aca="false">SUM(D3:D6)</f>
        <v>7722.1</v>
      </c>
      <c r="E7" s="11" t="n">
        <f aca="false">SUM(E3:E6)</f>
        <v>656607.6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2026-06-25T03:04:38Z</dcterms:created>
  <dc:creator>openpyxl</dc:creator>
  <dc:description/>
  <dc:language>en-US</dc:language>
  <cp:lastModifiedBy/>
  <dcterms:modified xsi:type="dcterms:W3CDTF">2026-06-25T03:04:38Z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